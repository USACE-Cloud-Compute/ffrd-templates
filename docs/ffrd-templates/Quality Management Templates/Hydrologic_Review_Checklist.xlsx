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839018D9-DFB6-4057-9D01-8C00B3B50311}" xr6:coauthVersionLast="47" xr6:coauthVersionMax="47" xr10:uidLastSave="{00000000-0000-0000-0000-000000000000}"/>
  <bookViews>
    <workbookView xWindow="28680" yWindow="-90" windowWidth="29040" windowHeight="15690" tabRatio="840" xr2:uid="{00000000-000D-0000-FFFF-FFFF00000000}"/>
  </bookViews>
  <sheets>
    <sheet name="HEC-HMS Event" sheetId="9" r:id="rId1"/>
    <sheet name="HEC-HMS Continuous" sheetId="2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8" l="1"/>
  <c r="C8" i="9"/>
</calcChain>
</file>

<file path=xl/sharedStrings.xml><?xml version="1.0" encoding="utf-8"?>
<sst xmlns="http://schemas.openxmlformats.org/spreadsheetml/2006/main" count="183" uniqueCount="95">
  <si>
    <t>FFRD Project Name</t>
  </si>
  <si>
    <t>Review Date</t>
  </si>
  <si>
    <t>Modeler</t>
  </si>
  <si>
    <t>Response Date</t>
  </si>
  <si>
    <t>Quality Reviewer</t>
  </si>
  <si>
    <t>Review Complete Date</t>
  </si>
  <si>
    <t>Open Comments</t>
  </si>
  <si>
    <t>ID</t>
  </si>
  <si>
    <t>Review Item Description</t>
  </si>
  <si>
    <t>Comment Status</t>
  </si>
  <si>
    <t>Modeler Comments / Assumptions / Justifications</t>
  </si>
  <si>
    <t>Reviewer Comments</t>
  </si>
  <si>
    <t>Resolution of Reviewer Comments</t>
  </si>
  <si>
    <t>Backcheck/Close-out Commentary</t>
  </si>
  <si>
    <t>Model Construction</t>
  </si>
  <si>
    <t>What version of HEC-HMS was used to run the model? Does it match the version called out in the Project Work Plan (BE-PWP)?</t>
  </si>
  <si>
    <t>Open</t>
  </si>
  <si>
    <t>What was the source of the terrain data used for subbasin delineation? (LiDAR, NED, CWMS, etc.)</t>
  </si>
  <si>
    <t>What was the cell size of the final DEM? Was the data resampled from the original dataset(s)?</t>
  </si>
  <si>
    <t xml:space="preserve">Does the DEM cover the entire extent of the watershed?  </t>
  </si>
  <si>
    <t>Is the DEM in the standard MMC projection (Albers Equal Area feet) and vertical datum (NAVD 88)?</t>
  </si>
  <si>
    <t>Were the GIS tools within HEC-HMS used to delineate subbasins, routing reaches, and junctions?</t>
  </si>
  <si>
    <t>Was the team/district approved stream centerline burned into the terrain and used during basin model delineation?</t>
  </si>
  <si>
    <t>Were team/district approved polygons used as walls to aid during basin model delineation?</t>
  </si>
  <si>
    <t>Are subbasins delineated at all Primary, Secondary, and Tertiary stream gages within the watershed?</t>
  </si>
  <si>
    <t>Is the size and number of subbasins and routing reaches adequate for stochastic/Monte Carlo application? (Keep in mind the computational burden to simulate the model hundreds of thousands of times. Too many subbasins will generate additional outputs and slow down the monte carlo process.)</t>
  </si>
  <si>
    <t>Were reservoir elements used to simulate the translation/attenuation processes within impactful water resources projects? Were sinks/sources used at any reservoirs?</t>
  </si>
  <si>
    <t>Does the Elevation-Storage relationship for each reservoir match the best available information? Was any vertical datum adjustment made? Was the Elevation-Storage relationship used in HMS verified for consistency with ResSim and RAS models?</t>
  </si>
  <si>
    <t>Does the basin model delineation provide boundary conditions at all locations necessary for the ResSim and RAS models to run?</t>
  </si>
  <si>
    <t>Were all basin elements (i.e., subbasins, reservoirs, junctions, etc.) named in accordance with the SOP and in coordination with the rest of the team/district (This should be checked and confirmed even if modeler is using an existing CWMS model)?</t>
  </si>
  <si>
    <t xml:space="preserve">For models using an older CWMS HMS project with a Grid Cell file, was the HMS project updated to use Structured Discretization? </t>
  </si>
  <si>
    <t>Setup, Process Selection, and Parameterization</t>
  </si>
  <si>
    <t>Do all basin models use the FFRD projection as stated in the SOP?</t>
  </si>
  <si>
    <t>Were all basin elements properly connected? Was the hydrologic order reviewed and approved by the team?</t>
  </si>
  <si>
    <t>Were appropriate modeling processes selected for each subbasin in accordance with the SOP (i.e., Structured Discretization, Simple Canopy, Gridded Temperature Index Snow, Deficit and Constant Loss, Modified Clark Transform, and Linear Reservoir Baseflow)? If not, has adequate justification been provided and vetted by the Hydrologic Engineering Center?</t>
  </si>
  <si>
    <t>Were appropriate modeling processes selected for each routing reach in accordance with the SOP (i.e., Muskingum, Modified Puls, and/or Muskingum-Cunge)? If not, has adequate justification been provided and vetted by the Hydrologic Engineering Center?</t>
  </si>
  <si>
    <t>Were appropriate modeling processes selected for each reservoir in accordance with the SOP (i.e., Specified Release, etc.)? If not, has adequate justification been provided and vetted by the Hydrologic Engineering Center?</t>
  </si>
  <si>
    <t>Was an appropriate potential evapotranspiration method selected within the meteorologic model in accordance with the SOP (i.e., Gridded Hamon)? If not, has adequate justification been provided and vetted by the Hydrologic Engineering Center?</t>
  </si>
  <si>
    <t>How were initial model parameters (percent impervious, constant loss rate, time of concentration, etc.) estimated for each subbasin? For existing HMS CWMS models, were "final" calibrated basin parameters used?</t>
  </si>
  <si>
    <t>If simulating snow accumulation/melt, how were initial snow state variables (e.g., SWE, cold content, etc.) estimated and specified for each subbasin?</t>
  </si>
  <si>
    <t>Was an appropriate computational time step (e.g., 15 min &lt; x &lt; 3 hours) selected within all Control Specifications in accordance with the SOP?</t>
  </si>
  <si>
    <t xml:space="preserve">Using one of the calibration events, does the HMS model simulate completely without any major issues?  </t>
  </si>
  <si>
    <t>Is the HMS project configured so that there are separate basin models for each calibration event?  Are there at least 4 calibration events configured?</t>
  </si>
  <si>
    <t>Are the time-series data (observed discharge, reservoir elevations, snow water equivalent, etc.) and gridded time-series datasets (Precipitation, Temperature, SWE, PET, etc.) in GMT?</t>
  </si>
  <si>
    <t>Has the development of the final gridded precipitation and temperature dataset been documented?</t>
  </si>
  <si>
    <t>Have Primary, Secondary, and Tertiary calibration gage locations been clearly defined and documented?</t>
  </si>
  <si>
    <t xml:space="preserve">Have time-series and gridded data been added to the project and have separate meteorologic models been created for each of the calibration events? </t>
  </si>
  <si>
    <t>Was observed flow data entered for each gage location using the time-series data manager and linked to the appropriate basin model elements?</t>
  </si>
  <si>
    <t>If simulating snow accumulation/melt, was observed SWE data entered using the time-series data manager and linked to the appropriate subbasins?</t>
  </si>
  <si>
    <t xml:space="preserve">Was observed inflow data entered for each reservoir using the time-series data manager and linked to the appropriate basin model elements? </t>
  </si>
  <si>
    <t>Was observed reservoir pool elevation entered for each reservoir using the time-series data manager and linked to the appropriate basin model elements?</t>
  </si>
  <si>
    <t>For reservoirs using the Specified Release method, has an outflow time-series been added using the time-series data manager and linked to the appropriate basin? If the outflow time series contains missing data, what approach was used to fill in the gaps?</t>
  </si>
  <si>
    <t xml:space="preserve">Have local flows been enabled (set to "yes") for each of the basin models? </t>
  </si>
  <si>
    <t>Have multiple, reasonable computational time steps been compared and reviewed (e.g., 15-min, 1-hour, and 3-hour)? Have any substantial differences in the computed results due to the computational time step been investigated?</t>
  </si>
  <si>
    <t>Does the HMS model run without major errors using the uncalibrated basin model, historic meteorologic model, and control specifications?</t>
  </si>
  <si>
    <t>Are the observed flows being read correctly and available in the results plots for the appropriate elements?</t>
  </si>
  <si>
    <t>Model Calibration</t>
  </si>
  <si>
    <t>Have the calibrated Simple Canopy parameters for each subbasin and historical event been checked for reasonableness?</t>
  </si>
  <si>
    <t>For each subbasin, does the Maximum Canopy Storage parameter vary from one historic event to the other?  If so, has an adequate physical justification been provided?</t>
  </si>
  <si>
    <t>Have the calibrated Deficit and Constant loss parameters for each subbasin and historical event been checked for reasonableness?</t>
  </si>
  <si>
    <t>For each subbasin, does the Maximum Deficit parameter vary from one historic event to the other?  If so, has an adequate physical justification been provided?</t>
  </si>
  <si>
    <t>For each subbasin, does the Percent Impervious parameter vary from one historic event to the other?  If so, has an adequate physical justification been provided?</t>
  </si>
  <si>
    <t>Have the calibrated ModClark transform parameters for each subbasin and historical event been checked for reasonableness? Is the calibrated Time of Concentration less than the computational time step for any subbasin? Is the calibrated Watershed Storage Coefficient less than the 0.5 * computational time step for any subbasin?</t>
  </si>
  <si>
    <t>Have the calibrated Linear Reservoir baseflow parameters for each layer been checked for reasonableness?  Are the sums of all partition fractions equal to 0?  Is the calibrated GW1 coefficient less than the GW2 coefficient for any subbasin? If using more than 2 layers, is the calibrated GW2 coefficient less than the GW3 coefficient for any subbasin?  Are the calibrated GW1, GW2, or GW3 coefficients less than Tc or less than the computational time step for any subbasin? Are the calibrated GW1, GW2, or GW3 coefficients less than R or less than the computational time step for any subbasin?</t>
  </si>
  <si>
    <t>Have the calibrated parameters for each routing reach been checked for reasonableness?  Do all routing reaches produce outflow hydrographs without major oscillations?  If using Modified Puls, have all storage-outflow relationships been extended to avoid errors when simulating events significantly more extreme than the historical events chosen for calibration?</t>
  </si>
  <si>
    <t>Was the model calibrated to at least four historical events?</t>
  </si>
  <si>
    <t>Do computed results meet or exceed the performance metrics (i.e. Satisfactory or higher at Primary and Secondary Locations) for all events as specified within the SOP?  Do flow and/or stage hydrographs reasonably match the timing, magnitude, and shape of historic peak flows or as defined in the SOP?</t>
  </si>
  <si>
    <t>Does each historical event simulation complete successfully in under 5 minutes?</t>
  </si>
  <si>
    <t>Are calibration parameters realistic given the hydrologic characteristics of the basin?  Are parameters consistent across subbasins for hydrologically similar regions?  If inconsistencies or unrealistic parameters exist, are they explained and justified in the report?</t>
  </si>
  <si>
    <t>Documentation and Preparation for Continuous / Stochastic Simulations</t>
  </si>
  <si>
    <t>Have the pertinent initial state variables for each subbasin, reservoir, and routing reach been changed from relative values to absolute values? Simple Canopy - initial storage must be specified as Depth; Linear Reservoir baseflow - initial discharge for each layer must be specified as discharge; Routing Reaches - Initial Type must be Specified Discharge; Reservoirs - Initial Condition must be Elevation</t>
  </si>
  <si>
    <t>Were extraneous model components (basin models, meteorologic models, control specifics, etc.) removed from the final HMS project?</t>
  </si>
  <si>
    <t>Was documentation of the historic event calibration milestone provided to the reviewer?</t>
  </si>
  <si>
    <t>Comments / Assumptions / Justifications</t>
  </si>
  <si>
    <t xml:space="preserve">HEC-HMS Continuous Simulation </t>
  </si>
  <si>
    <t xml:space="preserve">How were basin and meteorological model processes and parameters chosen for use within the continuous simulations?  Were these processes the same as those that were used within the historical event simulations?  Were these parameters chosen using the historical event simulations? </t>
  </si>
  <si>
    <t>Were any basin element changes made within the continuous simulation model?  Were these changes documented in the report and explained?</t>
  </si>
  <si>
    <t>For each subbasin, is the Maximum Canopy Storage parameter value within the continuous simulations greater than the minimum Maximum Canopy Storage parameter value of any historic event?  This should be avoided in order to avert potential sampling problems w/in the conformance and production phases.</t>
  </si>
  <si>
    <t>For each subbasin, is the Maximum Deficit parameter value within the continuous simulations greater than the minimum Maximum Deficit parameter value of any historic event?  This should be avoided in order to avert potential sampling problems w/in the conformance and production phases.</t>
  </si>
  <si>
    <t>Does the shorter continuous model compute without any errors?</t>
  </si>
  <si>
    <t>If the time step of observed data was significantly larger than the computational time interval (e.g., daily average observed data vs. 1-hour computed data), how were statistical metrics computed at Primary, Secondary, and Tertiary gage locations?</t>
  </si>
  <si>
    <t>Does the full period of record HMS model simulate successfully?</t>
  </si>
  <si>
    <t>Were multiple summarizations (monthly average volume, annual peak flow, flow duration etc.) used to compare the full period of record simulated results?</t>
  </si>
  <si>
    <t>Were the simulated annual and monthly averaged SWE and PET values checked against other sources?</t>
  </si>
  <si>
    <t>Does the report describe any potential model bias (i.e. parts of the watershed where the model tends to over/under-predict in peak flows and/or volumes.)</t>
  </si>
  <si>
    <t>Were extraneous model components (basin models, meteorologic models, control specifications, etc.) removed from the final HMS project?</t>
  </si>
  <si>
    <t>Was documentation of the POR calibration milestone provided to the reviewer?</t>
  </si>
  <si>
    <t>Do subbasin extents closely match published watershed delineations (USGS HUCs and/or NWS basins)?  Are there discrepancies between USGS HUC and/or NWS basins and have they been investigated?</t>
  </si>
  <si>
    <t>Have the precipitation and temperature grids been put through a QA/QC process?</t>
  </si>
  <si>
    <t>Have the precipitation grids been normalized to better match precipitation volume? If so, was PRISM data or another dataset used when normalizing?</t>
  </si>
  <si>
    <t>If simulating snow accumulation/melt, have the calibrated Gridded Temperature Index snow parameters for each subbasin and historical event been checked for reasonableness? Is the specified Ground melt greater than 0 for any subbasin or historical event? Is the wet melt rate less than the dry melt rate or largest ATI-melt rate ordinate for any subbasin or historical event?</t>
  </si>
  <si>
    <t>Are dimensionless coefficients of the ModClark parameters (i.e., R / [Tc + R]) regionally consistent?</t>
  </si>
  <si>
    <t>Are the same paired data objects (e.g., storage-discharge, elevation-storage, etc.) used within both the historic event and continuous simulations?  The same paired data objects should be used in order to avoid generating possibly erroneous state variables during the conformance and production phases.</t>
  </si>
  <si>
    <t xml:space="preserve">Was a shorter continuous simulation performed to evaluate model performance (ET, SWE, discharge) with selected parameters prior to the full continuous simulation time period?  </t>
  </si>
  <si>
    <t>Has coordination been conducted with hydraulic modelers to elicit feedback on hydrologic model results? Are modifications needed to hydrologic model to accommodate needs of hydraulic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</si>
</sst>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color theme="1"/>
      <name val="Arial"/>
      <family val="2"/>
    </font>
    <font>
      <sz val="10"/>
      <color theme="1"/>
      <name val="Calibri"/>
      <family val="2"/>
      <scheme val="minor"/>
    </font>
    <font>
      <sz val="10"/>
      <color rgb="FFFF0000"/>
      <name val="Arial"/>
      <family val="2"/>
    </font>
    <font>
      <sz val="10"/>
      <name val="Arial"/>
      <family val="2"/>
    </font>
    <font>
      <b/>
      <sz val="10"/>
      <name val="Arial"/>
      <family val="2"/>
    </font>
    <font>
      <sz val="10"/>
      <color theme="3" tint="0.39997558519241921"/>
      <name val="Arial"/>
      <family val="2"/>
    </font>
    <font>
      <sz val="10"/>
      <color rgb="FF00B050"/>
      <name val="Arial"/>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C7CE"/>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3" fillId="0" borderId="0"/>
    <xf numFmtId="0" fontId="2" fillId="0" borderId="0"/>
    <xf numFmtId="0" fontId="1" fillId="0" borderId="0"/>
    <xf numFmtId="0" fontId="1" fillId="0" borderId="0"/>
  </cellStyleXfs>
  <cellXfs count="52">
    <xf numFmtId="0" fontId="0" fillId="0" borderId="0" xfId="0"/>
    <xf numFmtId="0" fontId="0" fillId="6" borderId="5" xfId="0" applyFill="1" applyBorder="1" applyAlignment="1">
      <alignment vertical="top"/>
    </xf>
    <xf numFmtId="0" fontId="0" fillId="0" borderId="6" xfId="0" applyBorder="1"/>
    <xf numFmtId="0" fontId="0" fillId="6" borderId="7" xfId="0" applyFill="1" applyBorder="1" applyAlignment="1">
      <alignment horizontal="left"/>
    </xf>
    <xf numFmtId="14" fontId="0" fillId="0" borderId="6" xfId="0" applyNumberFormat="1" applyBorder="1"/>
    <xf numFmtId="0" fontId="0" fillId="0" borderId="1" xfId="0" applyBorder="1"/>
    <xf numFmtId="0" fontId="0" fillId="6" borderId="8" xfId="0" applyFill="1" applyBorder="1" applyAlignment="1">
      <alignment horizontal="left" vertical="top"/>
    </xf>
    <xf numFmtId="0" fontId="0" fillId="0" borderId="9" xfId="0" applyBorder="1"/>
    <xf numFmtId="0" fontId="0" fillId="6" borderId="3" xfId="0" applyFill="1" applyBorder="1" applyAlignment="1">
      <alignment horizontal="left"/>
    </xf>
    <xf numFmtId="14" fontId="0" fillId="0" borderId="9" xfId="0" applyNumberFormat="1" applyBorder="1"/>
    <xf numFmtId="0" fontId="0" fillId="6" borderId="10" xfId="0" applyFill="1" applyBorder="1" applyAlignment="1">
      <alignment horizontal="left" vertical="top"/>
    </xf>
    <xf numFmtId="0" fontId="0" fillId="6" borderId="4" xfId="0" applyFill="1" applyBorder="1" applyAlignment="1">
      <alignment horizontal="left"/>
    </xf>
    <xf numFmtId="0" fontId="6" fillId="0" borderId="0" xfId="1" applyFont="1"/>
    <xf numFmtId="0" fontId="0" fillId="0" borderId="0" xfId="0" applyAlignment="1">
      <alignment horizontal="right" vertical="top" wrapText="1"/>
    </xf>
    <xf numFmtId="0" fontId="7" fillId="5" borderId="0" xfId="0" applyFont="1" applyFill="1" applyAlignment="1">
      <alignment horizontal="center"/>
    </xf>
    <xf numFmtId="0" fontId="0" fillId="3" borderId="1" xfId="0" applyFill="1" applyBorder="1"/>
    <xf numFmtId="0" fontId="0" fillId="3" borderId="2" xfId="0" applyFill="1" applyBorder="1" applyAlignment="1">
      <alignment wrapText="1"/>
    </xf>
    <xf numFmtId="0" fontId="0" fillId="3" borderId="3" xfId="0" applyFill="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center" wrapText="1"/>
    </xf>
    <xf numFmtId="49" fontId="0" fillId="0" borderId="1" xfId="0" applyNumberFormat="1" applyBorder="1" applyAlignment="1">
      <alignment wrapText="1"/>
    </xf>
    <xf numFmtId="0" fontId="0" fillId="2" borderId="1" xfId="0" applyFill="1" applyBorder="1" applyAlignment="1">
      <alignment horizontal="center"/>
    </xf>
    <xf numFmtId="0" fontId="0" fillId="2" borderId="1" xfId="0" applyFill="1" applyBorder="1" applyAlignment="1">
      <alignment wrapText="1"/>
    </xf>
    <xf numFmtId="0" fontId="0" fillId="0" borderId="1" xfId="0" applyBorder="1" applyAlignment="1">
      <alignment wrapText="1"/>
    </xf>
    <xf numFmtId="2" fontId="0" fillId="0" borderId="1" xfId="0" applyNumberFormat="1" applyBorder="1" applyAlignment="1">
      <alignment wrapText="1"/>
    </xf>
    <xf numFmtId="0" fontId="0" fillId="3" borderId="1" xfId="0" applyFill="1" applyBorder="1" applyAlignment="1">
      <alignment vertical="top"/>
    </xf>
    <xf numFmtId="0" fontId="0" fillId="2" borderId="1" xfId="0" applyFill="1" applyBorder="1" applyAlignment="1">
      <alignment horizontal="center" wrapText="1"/>
    </xf>
    <xf numFmtId="0" fontId="0" fillId="0" borderId="0" xfId="0" applyAlignment="1">
      <alignment wrapText="1"/>
    </xf>
    <xf numFmtId="0" fontId="0" fillId="0" borderId="1" xfId="0" applyBorder="1" applyAlignment="1">
      <alignment horizontal="center"/>
    </xf>
    <xf numFmtId="0" fontId="9" fillId="6" borderId="11" xfId="0" applyFont="1" applyFill="1" applyBorder="1" applyAlignment="1">
      <alignment vertical="top" wrapText="1"/>
    </xf>
    <xf numFmtId="0" fontId="5" fillId="6" borderId="11" xfId="0" applyFont="1" applyFill="1" applyBorder="1" applyAlignment="1">
      <alignment vertical="top" wrapText="1"/>
    </xf>
    <xf numFmtId="0" fontId="5" fillId="0" borderId="0" xfId="0" applyFont="1" applyAlignment="1">
      <alignment vertical="top"/>
    </xf>
    <xf numFmtId="0" fontId="5" fillId="0" borderId="0" xfId="0" applyFont="1" applyAlignment="1">
      <alignment wrapText="1"/>
    </xf>
    <xf numFmtId="0" fontId="5" fillId="0" borderId="0" xfId="0" applyFont="1"/>
    <xf numFmtId="0" fontId="0" fillId="4" borderId="5" xfId="0" applyFill="1" applyBorder="1" applyAlignment="1">
      <alignment vertical="top"/>
    </xf>
    <xf numFmtId="0" fontId="0" fillId="4" borderId="7" xfId="0" applyFill="1" applyBorder="1" applyAlignment="1">
      <alignment horizontal="left"/>
    </xf>
    <xf numFmtId="0" fontId="0" fillId="4" borderId="8" xfId="0" applyFill="1" applyBorder="1" applyAlignment="1">
      <alignment horizontal="left" vertical="top"/>
    </xf>
    <xf numFmtId="0" fontId="0" fillId="4" borderId="3" xfId="0" applyFill="1" applyBorder="1" applyAlignment="1">
      <alignment horizontal="left"/>
    </xf>
    <xf numFmtId="0" fontId="0" fillId="4" borderId="10" xfId="0" applyFill="1" applyBorder="1" applyAlignment="1">
      <alignment horizontal="left" vertical="top"/>
    </xf>
    <xf numFmtId="0" fontId="0" fillId="4" borderId="4" xfId="0" applyFill="1" applyBorder="1" applyAlignment="1">
      <alignment horizontal="left"/>
    </xf>
    <xf numFmtId="0" fontId="0" fillId="0" borderId="0" xfId="0" applyAlignment="1">
      <alignment horizontal="right"/>
    </xf>
    <xf numFmtId="0" fontId="5" fillId="4" borderId="1" xfId="0" applyFont="1" applyFill="1" applyBorder="1" applyAlignment="1">
      <alignment horizontal="left" vertical="top" wrapText="1"/>
    </xf>
    <xf numFmtId="0" fontId="5" fillId="4" borderId="11" xfId="0" applyFont="1" applyFill="1" applyBorder="1" applyAlignment="1">
      <alignment horizontal="left" vertical="top" wrapText="1"/>
    </xf>
    <xf numFmtId="0" fontId="0" fillId="0" borderId="1" xfId="0" applyBorder="1" applyAlignment="1">
      <alignment horizontal="left" vertical="top"/>
    </xf>
    <xf numFmtId="0" fontId="0" fillId="0" borderId="12" xfId="0" applyBorder="1" applyAlignment="1">
      <alignment wrapText="1"/>
    </xf>
    <xf numFmtId="0" fontId="0" fillId="2" borderId="12" xfId="0" applyFill="1" applyBorder="1" applyAlignment="1">
      <alignment horizontal="center"/>
    </xf>
    <xf numFmtId="0" fontId="0" fillId="2" borderId="12" xfId="0" applyFill="1" applyBorder="1" applyAlignment="1">
      <alignment wrapText="1"/>
    </xf>
    <xf numFmtId="0" fontId="7"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8" fillId="0" borderId="0" xfId="0" applyFont="1" applyAlignment="1">
      <alignment wrapText="1"/>
    </xf>
  </cellXfs>
  <cellStyles count="5">
    <cellStyle name="Normal" xfId="0" builtinId="0"/>
    <cellStyle name="Normal 2" xfId="1" xr:uid="{00000000-0005-0000-0000-000002000000}"/>
    <cellStyle name="Normal 2 2" xfId="2" xr:uid="{00000000-0005-0000-0000-000003000000}"/>
    <cellStyle name="Normal 2 2 2" xfId="4" xr:uid="{00000000-0005-0000-0000-000004000000}"/>
    <cellStyle name="Normal 2 3" xfId="3" xr:uid="{00000000-0005-0000-0000-000005000000}"/>
  </cellStyles>
  <dxfs count="12">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9" defaultPivotStyle="PivotStyleLight16"/>
  <colors>
    <mruColors>
      <color rgb="FFFFCC00"/>
      <color rgb="FFFFFB1D"/>
      <color rgb="FF7EB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G73"/>
  <sheetViews>
    <sheetView tabSelected="1" zoomScale="130" zoomScaleNormal="130" workbookViewId="0">
      <pane ySplit="9" topLeftCell="A10" activePane="bottomLeft" state="frozen"/>
      <selection activeCell="K18" sqref="K18:O18"/>
      <selection pane="bottomLeft"/>
    </sheetView>
  </sheetViews>
  <sheetFormatPr defaultColWidth="9.140625" defaultRowHeight="12.75" x14ac:dyDescent="0.2"/>
  <cols>
    <col min="1" max="1" width="9" customWidth="1"/>
    <col min="2" max="2" width="45.7109375" customWidth="1"/>
    <col min="3" max="3" width="21.140625" bestFit="1" customWidth="1"/>
    <col min="4" max="4" width="42.28515625" customWidth="1"/>
    <col min="5" max="5" width="25.140625" customWidth="1"/>
    <col min="6" max="7" width="38.28515625" customWidth="1"/>
    <col min="8" max="8" width="25.140625" customWidth="1"/>
  </cols>
  <sheetData>
    <row r="1" spans="1:7" ht="13.5" thickBot="1" x14ac:dyDescent="0.25"/>
    <row r="2" spans="1:7" x14ac:dyDescent="0.2">
      <c r="B2" s="1" t="s">
        <v>0</v>
      </c>
      <c r="C2" s="2"/>
      <c r="D2" s="3" t="s">
        <v>1</v>
      </c>
      <c r="E2" s="4"/>
      <c r="F2" s="3"/>
      <c r="G2" s="5"/>
    </row>
    <row r="3" spans="1:7" x14ac:dyDescent="0.2">
      <c r="B3" s="6" t="s">
        <v>2</v>
      </c>
      <c r="C3" s="7"/>
      <c r="D3" s="8" t="s">
        <v>3</v>
      </c>
      <c r="E3" s="9"/>
      <c r="F3" s="8"/>
      <c r="G3" s="5"/>
    </row>
    <row r="4" spans="1:7" x14ac:dyDescent="0.2">
      <c r="B4" s="6" t="s">
        <v>4</v>
      </c>
      <c r="C4" s="7"/>
      <c r="D4" s="8" t="s">
        <v>5</v>
      </c>
      <c r="E4" s="7"/>
      <c r="F4" s="8"/>
      <c r="G4" s="5"/>
    </row>
    <row r="5" spans="1:7" x14ac:dyDescent="0.2">
      <c r="B5" s="10"/>
      <c r="C5" s="7"/>
      <c r="D5" s="11"/>
      <c r="E5" s="7"/>
      <c r="F5" s="11"/>
      <c r="G5" s="5"/>
    </row>
    <row r="6" spans="1:7" x14ac:dyDescent="0.2">
      <c r="A6" s="12"/>
      <c r="B6" s="12"/>
      <c r="C6" s="12"/>
      <c r="D6" s="12"/>
      <c r="E6" s="12"/>
      <c r="F6" s="12"/>
      <c r="G6" s="12"/>
    </row>
    <row r="7" spans="1:7" x14ac:dyDescent="0.2">
      <c r="A7" s="12"/>
      <c r="B7" s="12"/>
      <c r="C7" s="12"/>
      <c r="D7" s="12"/>
      <c r="E7" s="12"/>
      <c r="F7" s="12"/>
      <c r="G7" s="12"/>
    </row>
    <row r="8" spans="1:7" x14ac:dyDescent="0.2">
      <c r="B8" s="13" t="s">
        <v>6</v>
      </c>
      <c r="C8" s="14">
        <f>COUNTIF($C$10:$C$113,"Open")</f>
        <v>60</v>
      </c>
    </row>
    <row r="9" spans="1:7" s="32" customFormat="1" ht="25.5" x14ac:dyDescent="0.2">
      <c r="A9" s="30" t="s">
        <v>7</v>
      </c>
      <c r="B9" s="30" t="s">
        <v>8</v>
      </c>
      <c r="C9" s="30" t="s">
        <v>9</v>
      </c>
      <c r="D9" s="31" t="s">
        <v>10</v>
      </c>
      <c r="E9" s="31" t="s">
        <v>11</v>
      </c>
      <c r="F9" s="31" t="s">
        <v>12</v>
      </c>
      <c r="G9" s="31" t="s">
        <v>13</v>
      </c>
    </row>
    <row r="10" spans="1:7" x14ac:dyDescent="0.2">
      <c r="A10" s="15"/>
      <c r="B10" s="16" t="s">
        <v>14</v>
      </c>
      <c r="C10" s="17"/>
      <c r="D10" s="17"/>
      <c r="E10" s="17"/>
      <c r="F10" s="17"/>
      <c r="G10" s="17"/>
    </row>
    <row r="11" spans="1:7" ht="38.25" x14ac:dyDescent="0.2">
      <c r="A11" s="18"/>
      <c r="B11" s="19" t="s">
        <v>15</v>
      </c>
      <c r="C11" s="20" t="s">
        <v>16</v>
      </c>
      <c r="D11" s="21"/>
      <c r="E11" s="22"/>
      <c r="F11" s="23"/>
      <c r="G11" s="23"/>
    </row>
    <row r="12" spans="1:7" ht="25.5" x14ac:dyDescent="0.2">
      <c r="A12" s="18"/>
      <c r="B12" s="24" t="s">
        <v>17</v>
      </c>
      <c r="C12" s="20" t="s">
        <v>16</v>
      </c>
      <c r="D12" s="24"/>
      <c r="E12" s="22"/>
      <c r="F12" s="23"/>
      <c r="G12" s="23"/>
    </row>
    <row r="13" spans="1:7" ht="25.5" x14ac:dyDescent="0.2">
      <c r="A13" s="18"/>
      <c r="B13" s="24" t="s">
        <v>18</v>
      </c>
      <c r="C13" s="20" t="s">
        <v>16</v>
      </c>
      <c r="D13" s="24"/>
      <c r="E13" s="22"/>
      <c r="F13" s="23"/>
      <c r="G13" s="23"/>
    </row>
    <row r="14" spans="1:7" ht="25.5" x14ac:dyDescent="0.2">
      <c r="A14" s="18"/>
      <c r="B14" s="24" t="s">
        <v>19</v>
      </c>
      <c r="C14" s="20" t="s">
        <v>16</v>
      </c>
      <c r="D14" s="24"/>
      <c r="E14" s="22"/>
      <c r="F14" s="23"/>
      <c r="G14" s="23"/>
    </row>
    <row r="15" spans="1:7" ht="25.5" x14ac:dyDescent="0.2">
      <c r="A15" s="18"/>
      <c r="B15" s="24" t="s">
        <v>20</v>
      </c>
      <c r="C15" s="20" t="s">
        <v>16</v>
      </c>
      <c r="D15" s="24"/>
      <c r="E15" s="22"/>
      <c r="F15" s="23"/>
      <c r="G15" s="23"/>
    </row>
    <row r="16" spans="1:7" ht="25.5" x14ac:dyDescent="0.2">
      <c r="A16" s="18"/>
      <c r="B16" s="24" t="s">
        <v>21</v>
      </c>
      <c r="C16" s="20" t="s">
        <v>16</v>
      </c>
      <c r="D16" s="24"/>
      <c r="E16" s="22"/>
      <c r="F16" s="23"/>
      <c r="G16" s="23"/>
    </row>
    <row r="17" spans="1:7" ht="38.25" x14ac:dyDescent="0.2">
      <c r="A17" s="18"/>
      <c r="B17" s="24" t="s">
        <v>22</v>
      </c>
      <c r="C17" s="20" t="s">
        <v>16</v>
      </c>
      <c r="D17" s="24"/>
      <c r="E17" s="22"/>
      <c r="F17" s="23"/>
      <c r="G17" s="23"/>
    </row>
    <row r="18" spans="1:7" ht="25.5" x14ac:dyDescent="0.2">
      <c r="A18" s="18"/>
      <c r="B18" s="24" t="s">
        <v>23</v>
      </c>
      <c r="C18" s="20" t="s">
        <v>16</v>
      </c>
      <c r="D18" s="24"/>
      <c r="E18" s="22"/>
      <c r="F18" s="23"/>
      <c r="G18" s="23"/>
    </row>
    <row r="19" spans="1:7" ht="25.5" x14ac:dyDescent="0.2">
      <c r="A19" s="18"/>
      <c r="B19" s="24" t="s">
        <v>24</v>
      </c>
      <c r="C19" s="20" t="s">
        <v>16</v>
      </c>
      <c r="D19" s="24"/>
      <c r="E19" s="22"/>
      <c r="F19" s="23"/>
      <c r="G19" s="23"/>
    </row>
    <row r="20" spans="1:7" ht="63.75" x14ac:dyDescent="0.2">
      <c r="A20" s="18"/>
      <c r="B20" s="24" t="s">
        <v>87</v>
      </c>
      <c r="C20" s="20" t="s">
        <v>16</v>
      </c>
      <c r="D20" s="24"/>
      <c r="E20" s="22"/>
      <c r="F20" s="23"/>
      <c r="G20" s="23"/>
    </row>
    <row r="21" spans="1:7" ht="76.5" x14ac:dyDescent="0.2">
      <c r="A21" s="18"/>
      <c r="B21" s="24" t="s">
        <v>25</v>
      </c>
      <c r="C21" s="20" t="s">
        <v>16</v>
      </c>
      <c r="D21" s="24"/>
      <c r="E21" s="22"/>
      <c r="F21" s="23"/>
      <c r="G21" s="23"/>
    </row>
    <row r="22" spans="1:7" ht="51" x14ac:dyDescent="0.2">
      <c r="A22" s="18"/>
      <c r="B22" s="24" t="s">
        <v>26</v>
      </c>
      <c r="C22" s="20" t="s">
        <v>16</v>
      </c>
      <c r="D22" s="24"/>
      <c r="E22" s="22"/>
      <c r="F22" s="23"/>
      <c r="G22" s="23"/>
    </row>
    <row r="23" spans="1:7" ht="63.75" x14ac:dyDescent="0.2">
      <c r="A23" s="18"/>
      <c r="B23" s="24" t="s">
        <v>27</v>
      </c>
      <c r="C23" s="20" t="s">
        <v>16</v>
      </c>
      <c r="D23" s="24"/>
      <c r="E23" s="22"/>
      <c r="F23" s="23"/>
      <c r="G23" s="23"/>
    </row>
    <row r="24" spans="1:7" ht="38.25" x14ac:dyDescent="0.2">
      <c r="A24" s="18"/>
      <c r="B24" s="24" t="s">
        <v>28</v>
      </c>
      <c r="C24" s="20" t="s">
        <v>16</v>
      </c>
      <c r="D24" s="24"/>
      <c r="E24" s="22"/>
      <c r="F24" s="23"/>
      <c r="G24" s="23"/>
    </row>
    <row r="25" spans="1:7" ht="63.75" x14ac:dyDescent="0.2">
      <c r="A25" s="18"/>
      <c r="B25" s="24" t="s">
        <v>29</v>
      </c>
      <c r="C25" s="20" t="s">
        <v>16</v>
      </c>
      <c r="D25" s="24"/>
      <c r="E25" s="22"/>
      <c r="F25" s="23"/>
      <c r="G25" s="23"/>
    </row>
    <row r="26" spans="1:7" ht="38.25" x14ac:dyDescent="0.2">
      <c r="A26" s="18"/>
      <c r="B26" s="25" t="s">
        <v>30</v>
      </c>
      <c r="C26" s="20" t="s">
        <v>16</v>
      </c>
      <c r="D26" s="25"/>
      <c r="E26" s="22"/>
      <c r="F26" s="23"/>
      <c r="G26" s="23"/>
    </row>
    <row r="27" spans="1:7" x14ac:dyDescent="0.2">
      <c r="A27" s="26"/>
      <c r="B27" s="15" t="s">
        <v>31</v>
      </c>
      <c r="C27" s="15"/>
      <c r="D27" s="15"/>
      <c r="E27" s="15"/>
      <c r="F27" s="15"/>
      <c r="G27" s="15"/>
    </row>
    <row r="28" spans="1:7" ht="25.5" x14ac:dyDescent="0.2">
      <c r="A28" s="18"/>
      <c r="B28" s="23" t="s">
        <v>32</v>
      </c>
      <c r="C28" s="20" t="s">
        <v>16</v>
      </c>
      <c r="D28" s="23"/>
      <c r="E28" s="22"/>
      <c r="F28" s="23"/>
      <c r="G28" s="23"/>
    </row>
    <row r="29" spans="1:7" ht="38.25" x14ac:dyDescent="0.2">
      <c r="A29" s="18"/>
      <c r="B29" s="24" t="s">
        <v>33</v>
      </c>
      <c r="C29" s="20" t="s">
        <v>16</v>
      </c>
      <c r="D29" s="24"/>
      <c r="E29" s="22"/>
      <c r="F29" s="23"/>
      <c r="G29" s="23"/>
    </row>
    <row r="30" spans="1:7" ht="102" x14ac:dyDescent="0.2">
      <c r="A30" s="18"/>
      <c r="B30" s="25" t="s">
        <v>34</v>
      </c>
      <c r="C30" s="20" t="s">
        <v>16</v>
      </c>
      <c r="D30" s="25"/>
      <c r="E30" s="22"/>
      <c r="F30" s="23"/>
      <c r="G30" s="23"/>
    </row>
    <row r="31" spans="1:7" s="28" customFormat="1" ht="76.5" x14ac:dyDescent="0.2">
      <c r="A31" s="18"/>
      <c r="B31" s="24" t="s">
        <v>35</v>
      </c>
      <c r="C31" s="20" t="s">
        <v>16</v>
      </c>
      <c r="D31" s="24"/>
      <c r="E31" s="27"/>
      <c r="F31" s="23"/>
      <c r="G31" s="23"/>
    </row>
    <row r="32" spans="1:7" s="28" customFormat="1" ht="63.75" x14ac:dyDescent="0.2">
      <c r="A32" s="18"/>
      <c r="B32" s="24" t="s">
        <v>36</v>
      </c>
      <c r="C32" s="20" t="s">
        <v>16</v>
      </c>
      <c r="D32" s="24"/>
      <c r="E32" s="27"/>
      <c r="F32" s="23"/>
      <c r="G32" s="23"/>
    </row>
    <row r="33" spans="1:7" s="28" customFormat="1" ht="63.75" x14ac:dyDescent="0.2">
      <c r="A33" s="18"/>
      <c r="B33" s="24" t="s">
        <v>37</v>
      </c>
      <c r="C33" s="20" t="s">
        <v>16</v>
      </c>
      <c r="D33" s="24"/>
      <c r="E33" s="27"/>
      <c r="F33" s="23"/>
      <c r="G33" s="23"/>
    </row>
    <row r="34" spans="1:7" s="28" customFormat="1" ht="63.75" x14ac:dyDescent="0.2">
      <c r="A34" s="18"/>
      <c r="B34" s="25" t="s">
        <v>38</v>
      </c>
      <c r="C34" s="20" t="s">
        <v>16</v>
      </c>
      <c r="D34" s="25"/>
      <c r="E34" s="22"/>
      <c r="F34" s="23"/>
      <c r="G34" s="23"/>
    </row>
    <row r="35" spans="1:7" s="28" customFormat="1" ht="38.25" x14ac:dyDescent="0.2">
      <c r="A35" s="18"/>
      <c r="B35" s="25" t="s">
        <v>39</v>
      </c>
      <c r="C35" s="20" t="s">
        <v>16</v>
      </c>
      <c r="D35" s="25"/>
      <c r="E35" s="22"/>
      <c r="F35" s="23"/>
      <c r="G35" s="23"/>
    </row>
    <row r="36" spans="1:7" s="28" customFormat="1" ht="38.25" x14ac:dyDescent="0.2">
      <c r="A36" s="18"/>
      <c r="B36" s="25" t="s">
        <v>40</v>
      </c>
      <c r="C36" s="20" t="s">
        <v>16</v>
      </c>
      <c r="D36" s="25"/>
      <c r="E36" s="22"/>
      <c r="F36" s="23"/>
      <c r="G36" s="23"/>
    </row>
    <row r="37" spans="1:7" ht="38.25" x14ac:dyDescent="0.2">
      <c r="A37" s="18"/>
      <c r="B37" s="24" t="s">
        <v>41</v>
      </c>
      <c r="C37" s="20" t="s">
        <v>16</v>
      </c>
      <c r="D37" s="24"/>
      <c r="E37" s="22"/>
      <c r="F37" s="23"/>
      <c r="G37" s="23"/>
    </row>
    <row r="38" spans="1:7" ht="38.25" x14ac:dyDescent="0.2">
      <c r="A38" s="18"/>
      <c r="B38" s="24" t="s">
        <v>42</v>
      </c>
      <c r="C38" s="20" t="s">
        <v>16</v>
      </c>
      <c r="D38" s="24"/>
      <c r="E38" s="22"/>
      <c r="F38" s="23"/>
      <c r="G38" s="23"/>
    </row>
    <row r="39" spans="1:7" ht="51" x14ac:dyDescent="0.2">
      <c r="A39" s="18"/>
      <c r="B39" s="24" t="s">
        <v>43</v>
      </c>
      <c r="C39" s="20" t="s">
        <v>16</v>
      </c>
      <c r="D39" s="24"/>
      <c r="E39" s="22"/>
      <c r="F39" s="23"/>
      <c r="G39" s="23"/>
    </row>
    <row r="40" spans="1:7" ht="25.5" x14ac:dyDescent="0.2">
      <c r="A40" s="18"/>
      <c r="B40" s="24" t="s">
        <v>88</v>
      </c>
      <c r="C40" s="20" t="s">
        <v>16</v>
      </c>
      <c r="D40" s="24"/>
      <c r="E40" s="22"/>
      <c r="F40" s="23"/>
      <c r="G40" s="23"/>
    </row>
    <row r="41" spans="1:7" ht="38.25" x14ac:dyDescent="0.2">
      <c r="A41" s="18"/>
      <c r="B41" s="24" t="s">
        <v>89</v>
      </c>
      <c r="C41" s="20" t="s">
        <v>16</v>
      </c>
      <c r="D41" s="24"/>
      <c r="E41" s="22"/>
      <c r="F41" s="23"/>
      <c r="G41" s="23"/>
    </row>
    <row r="42" spans="1:7" ht="25.5" x14ac:dyDescent="0.2">
      <c r="A42" s="18"/>
      <c r="B42" s="24" t="s">
        <v>44</v>
      </c>
      <c r="C42" s="20" t="s">
        <v>16</v>
      </c>
      <c r="D42" s="24"/>
      <c r="E42" s="22"/>
      <c r="F42" s="23"/>
      <c r="G42" s="23"/>
    </row>
    <row r="43" spans="1:7" ht="38.25" x14ac:dyDescent="0.2">
      <c r="A43" s="18"/>
      <c r="B43" s="24" t="s">
        <v>45</v>
      </c>
      <c r="C43" s="20" t="s">
        <v>16</v>
      </c>
      <c r="D43" s="24"/>
      <c r="E43" s="22"/>
      <c r="F43" s="23"/>
      <c r="G43" s="23"/>
    </row>
    <row r="44" spans="1:7" ht="38.25" x14ac:dyDescent="0.2">
      <c r="A44" s="18"/>
      <c r="B44" s="24" t="s">
        <v>46</v>
      </c>
      <c r="C44" s="20" t="s">
        <v>16</v>
      </c>
      <c r="D44" s="24"/>
      <c r="E44" s="22"/>
      <c r="F44" s="23"/>
      <c r="G44" s="23"/>
    </row>
    <row r="45" spans="1:7" ht="38.25" x14ac:dyDescent="0.2">
      <c r="A45" s="18"/>
      <c r="B45" s="24" t="s">
        <v>47</v>
      </c>
      <c r="C45" s="20" t="s">
        <v>16</v>
      </c>
      <c r="D45" s="24"/>
      <c r="E45" s="22"/>
      <c r="F45" s="23"/>
      <c r="G45" s="23"/>
    </row>
    <row r="46" spans="1:7" ht="38.25" x14ac:dyDescent="0.2">
      <c r="A46" s="18"/>
      <c r="B46" s="24" t="s">
        <v>48</v>
      </c>
      <c r="C46" s="20" t="s">
        <v>16</v>
      </c>
      <c r="D46" s="24"/>
      <c r="E46" s="22"/>
      <c r="F46" s="23"/>
      <c r="G46" s="23"/>
    </row>
    <row r="47" spans="1:7" ht="38.25" x14ac:dyDescent="0.2">
      <c r="A47" s="18"/>
      <c r="B47" s="24" t="s">
        <v>49</v>
      </c>
      <c r="C47" s="20" t="s">
        <v>16</v>
      </c>
      <c r="D47" s="24"/>
      <c r="E47" s="22"/>
      <c r="F47" s="23"/>
      <c r="G47" s="23"/>
    </row>
    <row r="48" spans="1:7" ht="38.25" x14ac:dyDescent="0.2">
      <c r="A48" s="18"/>
      <c r="B48" s="24" t="s">
        <v>50</v>
      </c>
      <c r="C48" s="20" t="s">
        <v>16</v>
      </c>
      <c r="D48" s="24"/>
      <c r="E48" s="22"/>
      <c r="F48" s="23"/>
      <c r="G48" s="23"/>
    </row>
    <row r="49" spans="1:7" ht="76.5" x14ac:dyDescent="0.2">
      <c r="A49" s="18"/>
      <c r="B49" s="24" t="s">
        <v>51</v>
      </c>
      <c r="C49" s="20" t="s">
        <v>16</v>
      </c>
      <c r="D49" s="24"/>
      <c r="E49" s="22"/>
      <c r="F49" s="23"/>
      <c r="G49" s="23"/>
    </row>
    <row r="50" spans="1:7" s="28" customFormat="1" ht="25.5" x14ac:dyDescent="0.2">
      <c r="A50" s="18"/>
      <c r="B50" s="24" t="s">
        <v>52</v>
      </c>
      <c r="C50" s="20" t="s">
        <v>16</v>
      </c>
      <c r="D50" s="24"/>
      <c r="E50" s="27"/>
      <c r="F50" s="23"/>
      <c r="G50" s="23"/>
    </row>
    <row r="51" spans="1:7" s="28" customFormat="1" ht="63.75" x14ac:dyDescent="0.2">
      <c r="A51" s="18"/>
      <c r="B51" s="24" t="s">
        <v>53</v>
      </c>
      <c r="C51" s="20" t="s">
        <v>16</v>
      </c>
      <c r="D51" s="24"/>
      <c r="E51" s="27"/>
      <c r="F51" s="23"/>
      <c r="G51" s="23"/>
    </row>
    <row r="52" spans="1:7" s="28" customFormat="1" ht="38.25" x14ac:dyDescent="0.2">
      <c r="A52" s="18"/>
      <c r="B52" s="24" t="s">
        <v>54</v>
      </c>
      <c r="C52" s="20" t="s">
        <v>16</v>
      </c>
      <c r="D52" s="24"/>
      <c r="E52" s="27"/>
      <c r="F52" s="23"/>
      <c r="G52" s="23"/>
    </row>
    <row r="53" spans="1:7" ht="38.25" x14ac:dyDescent="0.2">
      <c r="A53" s="18"/>
      <c r="B53" s="24" t="s">
        <v>55</v>
      </c>
      <c r="C53" s="20" t="s">
        <v>16</v>
      </c>
      <c r="D53" s="24"/>
      <c r="E53" s="22"/>
      <c r="F53" s="23"/>
      <c r="G53" s="23"/>
    </row>
    <row r="54" spans="1:7" x14ac:dyDescent="0.2">
      <c r="A54" s="26"/>
      <c r="B54" s="15" t="s">
        <v>56</v>
      </c>
      <c r="C54" s="15"/>
      <c r="D54" s="15"/>
      <c r="E54" s="15"/>
      <c r="F54" s="15"/>
      <c r="G54" s="15"/>
    </row>
    <row r="55" spans="1:7" ht="102" x14ac:dyDescent="0.2">
      <c r="A55" s="18"/>
      <c r="B55" s="23" t="s">
        <v>90</v>
      </c>
      <c r="C55" s="20" t="s">
        <v>16</v>
      </c>
      <c r="D55" s="23"/>
      <c r="E55" s="22"/>
      <c r="F55" s="23"/>
      <c r="G55" s="23"/>
    </row>
    <row r="56" spans="1:7" ht="38.25" x14ac:dyDescent="0.2">
      <c r="A56" s="18"/>
      <c r="B56" s="23" t="s">
        <v>57</v>
      </c>
      <c r="C56" s="20" t="s">
        <v>16</v>
      </c>
      <c r="D56" s="23"/>
      <c r="E56" s="22"/>
      <c r="F56" s="23"/>
      <c r="G56" s="23"/>
    </row>
    <row r="57" spans="1:7" ht="51" x14ac:dyDescent="0.2">
      <c r="A57" s="18"/>
      <c r="B57" s="23" t="s">
        <v>58</v>
      </c>
      <c r="C57" s="20" t="s">
        <v>16</v>
      </c>
      <c r="D57" s="23"/>
      <c r="E57" s="22"/>
      <c r="F57" s="23"/>
      <c r="G57" s="23"/>
    </row>
    <row r="58" spans="1:7" ht="38.25" x14ac:dyDescent="0.2">
      <c r="A58" s="18"/>
      <c r="B58" s="23" t="s">
        <v>59</v>
      </c>
      <c r="C58" s="20" t="s">
        <v>16</v>
      </c>
      <c r="D58" s="23"/>
      <c r="E58" s="22"/>
      <c r="F58" s="23"/>
      <c r="G58" s="23"/>
    </row>
    <row r="59" spans="1:7" ht="51" x14ac:dyDescent="0.2">
      <c r="A59" s="18"/>
      <c r="B59" s="23" t="s">
        <v>60</v>
      </c>
      <c r="C59" s="20" t="s">
        <v>16</v>
      </c>
      <c r="D59" s="23"/>
      <c r="E59" s="22"/>
      <c r="F59" s="23"/>
      <c r="G59" s="23"/>
    </row>
    <row r="60" spans="1:7" ht="51" x14ac:dyDescent="0.2">
      <c r="A60" s="18"/>
      <c r="B60" s="23" t="s">
        <v>61</v>
      </c>
      <c r="C60" s="20" t="s">
        <v>16</v>
      </c>
      <c r="D60" s="23"/>
      <c r="E60" s="22"/>
      <c r="F60" s="23"/>
      <c r="G60" s="23"/>
    </row>
    <row r="61" spans="1:7" ht="89.25" x14ac:dyDescent="0.2">
      <c r="A61" s="18"/>
      <c r="B61" s="23" t="s">
        <v>62</v>
      </c>
      <c r="C61" s="20" t="s">
        <v>16</v>
      </c>
      <c r="D61" s="23"/>
      <c r="E61" s="22"/>
      <c r="F61" s="23"/>
      <c r="G61" s="23"/>
    </row>
    <row r="62" spans="1:7" ht="25.5" x14ac:dyDescent="0.2">
      <c r="A62" s="18"/>
      <c r="B62" s="23" t="s">
        <v>91</v>
      </c>
      <c r="C62" s="20" t="s">
        <v>16</v>
      </c>
      <c r="D62" s="23"/>
      <c r="E62" s="22"/>
      <c r="F62" s="23"/>
      <c r="G62" s="23"/>
    </row>
    <row r="63" spans="1:7" ht="165.75" x14ac:dyDescent="0.2">
      <c r="A63" s="18"/>
      <c r="B63" s="23" t="s">
        <v>63</v>
      </c>
      <c r="C63" s="20" t="s">
        <v>16</v>
      </c>
      <c r="D63" s="23"/>
      <c r="E63" s="22"/>
      <c r="F63" s="23"/>
      <c r="G63" s="23"/>
    </row>
    <row r="64" spans="1:7" ht="102" x14ac:dyDescent="0.2">
      <c r="A64" s="18"/>
      <c r="B64" s="23" t="s">
        <v>64</v>
      </c>
      <c r="C64" s="20" t="s">
        <v>16</v>
      </c>
      <c r="D64" s="23"/>
      <c r="E64" s="22"/>
      <c r="F64" s="23"/>
      <c r="G64" s="23"/>
    </row>
    <row r="65" spans="1:7" ht="25.5" x14ac:dyDescent="0.2">
      <c r="A65" s="18"/>
      <c r="B65" s="23" t="s">
        <v>65</v>
      </c>
      <c r="C65" s="20" t="s">
        <v>16</v>
      </c>
      <c r="D65" s="23"/>
      <c r="E65" s="22"/>
      <c r="F65" s="23"/>
      <c r="G65" s="23"/>
    </row>
    <row r="66" spans="1:7" ht="89.25" x14ac:dyDescent="0.2">
      <c r="A66" s="18"/>
      <c r="B66" s="23" t="s">
        <v>66</v>
      </c>
      <c r="C66" s="20" t="s">
        <v>16</v>
      </c>
      <c r="D66" s="23"/>
      <c r="E66" s="22"/>
      <c r="F66" s="23"/>
      <c r="G66" s="23"/>
    </row>
    <row r="67" spans="1:7" ht="25.5" x14ac:dyDescent="0.2">
      <c r="A67" s="18"/>
      <c r="B67" s="23" t="s">
        <v>67</v>
      </c>
      <c r="C67" s="20" t="s">
        <v>16</v>
      </c>
      <c r="D67" s="23"/>
      <c r="E67" s="22"/>
      <c r="F67" s="24"/>
      <c r="G67" s="24"/>
    </row>
    <row r="68" spans="1:7" ht="76.5" x14ac:dyDescent="0.2">
      <c r="A68" s="18"/>
      <c r="B68" s="24" t="s">
        <v>68</v>
      </c>
      <c r="C68" s="20" t="s">
        <v>16</v>
      </c>
      <c r="D68" s="24"/>
      <c r="E68" s="22"/>
      <c r="F68" s="23"/>
      <c r="G68" s="23"/>
    </row>
    <row r="69" spans="1:7" ht="51" x14ac:dyDescent="0.2">
      <c r="A69" s="18"/>
      <c r="B69" s="24" t="s">
        <v>94</v>
      </c>
      <c r="C69" s="20" t="s">
        <v>16</v>
      </c>
      <c r="D69" s="24"/>
      <c r="E69" s="22"/>
      <c r="F69" s="23"/>
      <c r="G69" s="23"/>
    </row>
    <row r="70" spans="1:7" x14ac:dyDescent="0.2">
      <c r="A70" s="26"/>
      <c r="B70" s="15" t="s">
        <v>69</v>
      </c>
      <c r="C70" s="15"/>
      <c r="D70" s="15"/>
      <c r="E70" s="15"/>
      <c r="F70" s="15"/>
      <c r="G70" s="15"/>
    </row>
    <row r="71" spans="1:7" ht="102" x14ac:dyDescent="0.2">
      <c r="A71" s="18"/>
      <c r="B71" s="24" t="s">
        <v>70</v>
      </c>
      <c r="C71" s="20" t="s">
        <v>16</v>
      </c>
      <c r="D71" s="24"/>
      <c r="E71" s="22"/>
      <c r="F71" s="23"/>
      <c r="G71" s="23"/>
    </row>
    <row r="72" spans="1:7" ht="38.25" x14ac:dyDescent="0.2">
      <c r="A72" s="18"/>
      <c r="B72" s="23" t="s">
        <v>71</v>
      </c>
      <c r="C72" s="20" t="s">
        <v>16</v>
      </c>
      <c r="D72" s="23"/>
      <c r="E72" s="29"/>
      <c r="F72" s="24"/>
      <c r="G72" s="24"/>
    </row>
    <row r="73" spans="1:7" ht="25.5" x14ac:dyDescent="0.2">
      <c r="A73" s="18"/>
      <c r="B73" s="24" t="s">
        <v>72</v>
      </c>
      <c r="C73" s="20" t="s">
        <v>16</v>
      </c>
      <c r="D73" s="24"/>
      <c r="E73" s="22"/>
      <c r="F73" s="23"/>
      <c r="G73" s="23"/>
    </row>
  </sheetData>
  <phoneticPr fontId="4" type="noConversion"/>
  <conditionalFormatting sqref="C11:C26 C55:C69">
    <cfRule type="cellIs" dxfId="11" priority="16" operator="equal">
      <formula>"N/A"</formula>
    </cfRule>
    <cfRule type="cellIs" dxfId="10" priority="17" operator="equal">
      <formula>"Closed"</formula>
    </cfRule>
    <cfRule type="cellIs" dxfId="9" priority="18" operator="equal">
      <formula>"Open"</formula>
    </cfRule>
  </conditionalFormatting>
  <conditionalFormatting sqref="C28:C53">
    <cfRule type="cellIs" dxfId="8" priority="13" operator="equal">
      <formula>"N/A"</formula>
    </cfRule>
    <cfRule type="cellIs" dxfId="7" priority="14" operator="equal">
      <formula>"Closed"</formula>
    </cfRule>
    <cfRule type="cellIs" dxfId="6" priority="15" operator="equal">
      <formula>"Open"</formula>
    </cfRule>
  </conditionalFormatting>
  <conditionalFormatting sqref="C71:C73">
    <cfRule type="cellIs" dxfId="5" priority="1" operator="equal">
      <formula>"N/A"</formula>
    </cfRule>
    <cfRule type="cellIs" dxfId="4" priority="2" operator="equal">
      <formula>"Closed"</formula>
    </cfRule>
    <cfRule type="cellIs" dxfId="3" priority="3" operator="equal">
      <formula>"Open"</formula>
    </cfRule>
  </conditionalFormatting>
  <dataValidations count="1">
    <dataValidation type="list" allowBlank="1" showInputMessage="1" showErrorMessage="1" sqref="C71:C73 C28:C53 C11:C26 C55:C69" xr:uid="{D24DCFB6-FA14-4FE5-9690-631602E02160}">
      <formula1>"Open,Closed,N/A"</formula1>
    </dataValidation>
  </dataValidations>
  <pageMargins left="0.25" right="0.25" top="0.32" bottom="0.31"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7F02-D0D6-4D42-9991-28C6DF579003}">
  <sheetPr>
    <tabColor rgb="FF00B0F0"/>
  </sheetPr>
  <dimension ref="A1:Z27"/>
  <sheetViews>
    <sheetView zoomScaleNormal="100" workbookViewId="0">
      <pane ySplit="11" topLeftCell="A12" activePane="bottomLeft" state="frozen"/>
      <selection activeCell="K18" sqref="K18:O18"/>
      <selection pane="bottomLeft" activeCell="B18" sqref="B18"/>
    </sheetView>
  </sheetViews>
  <sheetFormatPr defaultColWidth="9.140625" defaultRowHeight="12.75" x14ac:dyDescent="0.2"/>
  <cols>
    <col min="2" max="2" width="35.140625" customWidth="1"/>
    <col min="3" max="3" width="34" bestFit="1" customWidth="1"/>
    <col min="4" max="4" width="36.28515625" customWidth="1"/>
    <col min="5" max="5" width="26.140625" customWidth="1"/>
    <col min="6" max="6" width="32.42578125" customWidth="1"/>
    <col min="7" max="7" width="38.7109375" customWidth="1"/>
    <col min="8" max="8" width="9.42578125" bestFit="1" customWidth="1"/>
    <col min="9" max="9" width="4" customWidth="1"/>
    <col min="10" max="10" width="3" customWidth="1"/>
    <col min="11" max="11" width="2.5703125" customWidth="1"/>
    <col min="12" max="15" width="6.5703125" customWidth="1"/>
    <col min="16" max="16" width="2.28515625" customWidth="1"/>
    <col min="17" max="20" width="3.140625" customWidth="1"/>
    <col min="21" max="21" width="2.85546875" customWidth="1"/>
    <col min="22" max="22" width="3.140625" customWidth="1"/>
    <col min="23" max="25" width="3" customWidth="1"/>
    <col min="26" max="26" width="3.28515625" customWidth="1"/>
  </cols>
  <sheetData>
    <row r="1" spans="1:26" ht="13.5" thickBot="1" x14ac:dyDescent="0.25"/>
    <row r="2" spans="1:26" x14ac:dyDescent="0.2">
      <c r="B2" s="35" t="s">
        <v>0</v>
      </c>
      <c r="C2" s="2"/>
      <c r="D2" s="36" t="s">
        <v>1</v>
      </c>
      <c r="E2" s="4"/>
      <c r="F2" s="36"/>
      <c r="G2" s="5"/>
      <c r="M2" s="12"/>
      <c r="N2" s="12"/>
      <c r="O2" s="12"/>
      <c r="P2" s="12"/>
      <c r="Q2" s="12"/>
      <c r="R2" s="12"/>
      <c r="S2" s="12"/>
      <c r="T2" s="12"/>
      <c r="U2" s="12"/>
    </row>
    <row r="3" spans="1:26" x14ac:dyDescent="0.2">
      <c r="B3" s="37" t="s">
        <v>2</v>
      </c>
      <c r="C3" s="7"/>
      <c r="D3" s="38" t="s">
        <v>3</v>
      </c>
      <c r="E3" s="9"/>
      <c r="F3" s="38"/>
      <c r="G3" s="5"/>
      <c r="M3" s="12"/>
      <c r="N3" s="12"/>
      <c r="O3" s="12"/>
      <c r="P3" s="12"/>
      <c r="Q3" s="12"/>
      <c r="R3" s="12"/>
      <c r="S3" s="12"/>
      <c r="T3" s="12"/>
      <c r="U3" s="12"/>
    </row>
    <row r="4" spans="1:26" x14ac:dyDescent="0.2">
      <c r="B4" s="37" t="s">
        <v>4</v>
      </c>
      <c r="C4" s="7"/>
      <c r="D4" s="38" t="s">
        <v>5</v>
      </c>
      <c r="E4" s="7"/>
      <c r="F4" s="38"/>
      <c r="G4" s="5"/>
      <c r="M4" s="12"/>
      <c r="N4" s="12"/>
      <c r="O4" s="12"/>
      <c r="P4" s="12"/>
      <c r="Q4" s="12"/>
      <c r="R4" s="12"/>
      <c r="S4" s="12"/>
      <c r="T4" s="12"/>
      <c r="U4" s="12"/>
    </row>
    <row r="5" spans="1:26" x14ac:dyDescent="0.2">
      <c r="B5" s="39"/>
      <c r="C5" s="7"/>
      <c r="D5" s="40"/>
      <c r="E5" s="7"/>
      <c r="F5" s="40"/>
      <c r="G5" s="5"/>
      <c r="M5" s="12"/>
      <c r="N5" s="12"/>
      <c r="O5" s="12"/>
      <c r="P5" s="12"/>
      <c r="Q5" s="12"/>
      <c r="R5" s="12"/>
      <c r="S5" s="12"/>
      <c r="T5" s="12"/>
      <c r="U5" s="12"/>
    </row>
    <row r="6" spans="1:26" x14ac:dyDescent="0.2">
      <c r="B6" s="12"/>
      <c r="C6" s="12"/>
      <c r="D6" s="12"/>
      <c r="E6" s="12"/>
      <c r="F6" s="12"/>
      <c r="G6" s="12"/>
      <c r="H6" s="12"/>
      <c r="M6" s="12"/>
      <c r="N6" s="12"/>
      <c r="O6" s="12"/>
      <c r="P6" s="12"/>
      <c r="Q6" s="12"/>
      <c r="R6" s="12"/>
      <c r="S6" s="12"/>
      <c r="T6" s="12"/>
      <c r="U6" s="12"/>
    </row>
    <row r="7" spans="1:26" x14ac:dyDescent="0.2">
      <c r="B7" s="12"/>
      <c r="C7" s="12"/>
      <c r="D7" s="12"/>
      <c r="E7" s="12"/>
      <c r="F7" s="12"/>
      <c r="G7" s="12"/>
      <c r="H7" s="12"/>
      <c r="M7" s="12"/>
      <c r="N7" s="12"/>
      <c r="O7" s="12"/>
      <c r="P7" s="12"/>
      <c r="Q7" s="12"/>
      <c r="R7" s="12"/>
      <c r="S7" s="12"/>
      <c r="T7" s="12"/>
      <c r="U7" s="12"/>
    </row>
    <row r="8" spans="1:26" x14ac:dyDescent="0.2">
      <c r="B8" s="12"/>
      <c r="C8" s="12"/>
      <c r="D8" s="12"/>
      <c r="E8" s="12"/>
      <c r="F8" s="12"/>
      <c r="G8" s="12"/>
      <c r="H8" s="12"/>
      <c r="M8" s="12"/>
      <c r="N8" s="12"/>
      <c r="O8" s="12"/>
      <c r="P8" s="12"/>
      <c r="Q8" s="12"/>
      <c r="R8" s="12"/>
      <c r="S8" s="12"/>
      <c r="T8" s="12"/>
      <c r="U8" s="12"/>
    </row>
    <row r="9" spans="1:26" x14ac:dyDescent="0.2">
      <c r="B9" s="12"/>
      <c r="C9" s="12"/>
      <c r="D9" s="12"/>
      <c r="E9" s="12"/>
      <c r="F9" s="12"/>
      <c r="G9" s="12"/>
      <c r="H9" s="12"/>
      <c r="M9" s="12"/>
      <c r="N9" s="12"/>
      <c r="O9" s="12"/>
      <c r="P9" s="12"/>
      <c r="Q9" s="12"/>
      <c r="R9" s="12"/>
      <c r="S9" s="12"/>
      <c r="T9" s="12"/>
      <c r="U9" s="12"/>
    </row>
    <row r="10" spans="1:26" x14ac:dyDescent="0.2">
      <c r="B10" s="41" t="s">
        <v>6</v>
      </c>
      <c r="C10" s="14">
        <f>COUNTIF($C$12:$C$27,"Open")</f>
        <v>15</v>
      </c>
    </row>
    <row r="11" spans="1:26" s="34" customFormat="1" ht="25.5" x14ac:dyDescent="0.2">
      <c r="A11" s="42" t="s">
        <v>7</v>
      </c>
      <c r="B11" s="43" t="s">
        <v>8</v>
      </c>
      <c r="C11" s="43" t="s">
        <v>9</v>
      </c>
      <c r="D11" s="43" t="s">
        <v>73</v>
      </c>
      <c r="E11" s="43" t="s">
        <v>11</v>
      </c>
      <c r="F11" s="43" t="s">
        <v>12</v>
      </c>
      <c r="G11" s="43" t="s">
        <v>13</v>
      </c>
      <c r="H11" s="33"/>
      <c r="I11" s="33"/>
      <c r="J11" s="33"/>
      <c r="K11" s="33"/>
      <c r="L11" s="33"/>
      <c r="M11" s="33"/>
      <c r="N11" s="33"/>
      <c r="O11" s="33"/>
      <c r="P11" s="33"/>
      <c r="Q11" s="33"/>
      <c r="R11" s="33"/>
      <c r="S11" s="33"/>
      <c r="T11" s="33"/>
      <c r="U11" s="33"/>
      <c r="V11" s="33"/>
      <c r="W11" s="33"/>
      <c r="X11" s="33"/>
      <c r="Y11" s="33"/>
      <c r="Z11" s="33"/>
    </row>
    <row r="12" spans="1:26" ht="15" customHeight="1" x14ac:dyDescent="0.2">
      <c r="A12" s="16"/>
      <c r="B12" s="17" t="s">
        <v>74</v>
      </c>
      <c r="C12" s="17"/>
      <c r="D12" s="17"/>
      <c r="E12" s="17"/>
      <c r="F12" s="17"/>
      <c r="G12" s="17"/>
      <c r="H12" s="28"/>
      <c r="I12" s="28"/>
      <c r="J12" s="28"/>
      <c r="K12" s="28"/>
      <c r="L12" s="28"/>
      <c r="M12" s="28"/>
      <c r="N12" s="28"/>
      <c r="O12" s="28"/>
      <c r="P12" s="28"/>
      <c r="Q12" s="28"/>
      <c r="R12" s="28"/>
      <c r="S12" s="28"/>
      <c r="T12" s="28"/>
      <c r="U12" s="28"/>
      <c r="V12" s="28"/>
      <c r="W12" s="28"/>
      <c r="X12" s="28"/>
      <c r="Y12" s="28"/>
      <c r="Z12" s="28"/>
    </row>
    <row r="13" spans="1:26" ht="102" x14ac:dyDescent="0.2">
      <c r="A13" s="44"/>
      <c r="B13" s="45" t="s">
        <v>75</v>
      </c>
      <c r="C13" s="20" t="s">
        <v>16</v>
      </c>
      <c r="D13" s="45"/>
      <c r="E13" s="45"/>
      <c r="F13" s="46"/>
      <c r="G13" s="47"/>
      <c r="H13" s="28"/>
      <c r="I13" s="28"/>
      <c r="J13" s="28"/>
      <c r="K13" s="28"/>
      <c r="L13" s="48"/>
      <c r="M13" s="48"/>
      <c r="N13" s="48"/>
      <c r="O13" s="48"/>
      <c r="P13" s="48"/>
      <c r="Q13" s="49"/>
      <c r="R13" s="49"/>
      <c r="S13" s="49"/>
      <c r="T13" s="49"/>
      <c r="U13" s="49"/>
      <c r="V13" s="50"/>
      <c r="W13" s="50"/>
      <c r="X13" s="50"/>
      <c r="Y13" s="50"/>
      <c r="Z13" s="50"/>
    </row>
    <row r="14" spans="1:26" ht="51" x14ac:dyDescent="0.2">
      <c r="A14" s="44"/>
      <c r="B14" s="24" t="s">
        <v>76</v>
      </c>
      <c r="C14" s="20" t="s">
        <v>16</v>
      </c>
      <c r="D14" s="24"/>
      <c r="E14" s="24"/>
      <c r="F14" s="22"/>
      <c r="G14" s="23"/>
      <c r="H14" s="28"/>
      <c r="I14" s="28"/>
      <c r="J14" s="28"/>
      <c r="K14" s="28"/>
      <c r="L14" s="48"/>
      <c r="M14" s="48"/>
      <c r="N14" s="48"/>
      <c r="O14" s="48"/>
      <c r="P14" s="48"/>
      <c r="Q14" s="49"/>
      <c r="R14" s="49"/>
      <c r="S14" s="49"/>
      <c r="T14" s="49"/>
      <c r="U14" s="49"/>
      <c r="V14" s="50"/>
      <c r="W14" s="50"/>
      <c r="X14" s="50"/>
      <c r="Y14" s="50"/>
      <c r="Z14" s="50"/>
    </row>
    <row r="15" spans="1:26" ht="102" x14ac:dyDescent="0.2">
      <c r="A15" s="44"/>
      <c r="B15" s="23" t="s">
        <v>77</v>
      </c>
      <c r="C15" s="20" t="s">
        <v>16</v>
      </c>
      <c r="D15" s="24"/>
      <c r="E15" s="24"/>
      <c r="F15" s="22"/>
      <c r="G15" s="23"/>
      <c r="H15" s="28"/>
      <c r="I15" s="28"/>
      <c r="J15" s="28"/>
      <c r="K15" s="28"/>
      <c r="L15" s="48"/>
      <c r="M15" s="48"/>
      <c r="N15" s="48"/>
      <c r="O15" s="48"/>
      <c r="P15" s="48"/>
      <c r="Q15" s="49"/>
      <c r="R15" s="49"/>
      <c r="S15" s="49"/>
      <c r="T15" s="49"/>
      <c r="U15" s="49"/>
      <c r="V15" s="50"/>
      <c r="W15" s="50"/>
      <c r="X15" s="50"/>
      <c r="Y15" s="50"/>
      <c r="Z15" s="50"/>
    </row>
    <row r="16" spans="1:26" ht="102" x14ac:dyDescent="0.2">
      <c r="A16" s="44"/>
      <c r="B16" s="23" t="s">
        <v>78</v>
      </c>
      <c r="C16" s="20" t="s">
        <v>16</v>
      </c>
      <c r="D16" s="24"/>
      <c r="E16" s="24"/>
      <c r="F16" s="22"/>
      <c r="G16" s="23"/>
      <c r="H16" s="28"/>
      <c r="I16" s="28"/>
      <c r="J16" s="28"/>
      <c r="K16" s="28"/>
      <c r="L16" s="48"/>
      <c r="M16" s="48"/>
      <c r="N16" s="48"/>
      <c r="O16" s="48"/>
      <c r="P16" s="48"/>
      <c r="Q16" s="49"/>
      <c r="R16" s="49"/>
      <c r="S16" s="49"/>
      <c r="T16" s="49"/>
      <c r="U16" s="49"/>
      <c r="V16" s="50"/>
      <c r="W16" s="50"/>
      <c r="X16" s="50"/>
      <c r="Y16" s="50"/>
      <c r="Z16" s="50"/>
    </row>
    <row r="17" spans="1:26" ht="102" x14ac:dyDescent="0.2">
      <c r="A17" s="44"/>
      <c r="B17" s="23" t="s">
        <v>92</v>
      </c>
      <c r="C17" s="20" t="s">
        <v>16</v>
      </c>
      <c r="D17" s="24"/>
      <c r="E17" s="24"/>
      <c r="F17" s="22"/>
      <c r="G17" s="23"/>
      <c r="H17" s="28"/>
      <c r="I17" s="28"/>
      <c r="J17" s="28"/>
      <c r="K17" s="28"/>
      <c r="L17" s="48"/>
      <c r="M17" s="48"/>
      <c r="N17" s="48"/>
      <c r="O17" s="48"/>
      <c r="P17" s="48"/>
      <c r="Q17" s="49"/>
      <c r="R17" s="49"/>
      <c r="S17" s="49"/>
      <c r="T17" s="49"/>
      <c r="U17" s="49"/>
      <c r="V17" s="50"/>
      <c r="W17" s="50"/>
      <c r="X17" s="50"/>
      <c r="Y17" s="50"/>
      <c r="Z17" s="50"/>
    </row>
    <row r="18" spans="1:26" ht="63.75" x14ac:dyDescent="0.2">
      <c r="A18" s="44"/>
      <c r="B18" s="24" t="s">
        <v>93</v>
      </c>
      <c r="C18" s="20" t="s">
        <v>16</v>
      </c>
      <c r="D18" s="24"/>
      <c r="E18" s="24"/>
      <c r="F18" s="22"/>
      <c r="G18" s="23"/>
      <c r="H18" s="28"/>
      <c r="I18" s="28"/>
      <c r="J18" s="28"/>
      <c r="K18" s="28"/>
      <c r="L18" s="28"/>
      <c r="M18" s="28"/>
      <c r="N18" s="28"/>
      <c r="O18" s="28"/>
      <c r="P18" s="28"/>
      <c r="Q18" s="49"/>
      <c r="R18" s="49"/>
      <c r="S18" s="49"/>
      <c r="T18" s="49"/>
      <c r="U18" s="49"/>
      <c r="V18" s="50"/>
      <c r="W18" s="50"/>
      <c r="X18" s="50"/>
      <c r="Y18" s="50"/>
      <c r="Z18" s="50"/>
    </row>
    <row r="19" spans="1:26" ht="25.5" x14ac:dyDescent="0.2">
      <c r="A19" s="44"/>
      <c r="B19" s="24" t="s">
        <v>79</v>
      </c>
      <c r="C19" s="20" t="s">
        <v>16</v>
      </c>
      <c r="D19" s="24"/>
      <c r="E19" s="24"/>
      <c r="F19" s="22"/>
      <c r="G19" s="5"/>
      <c r="L19" s="28"/>
      <c r="M19" s="28"/>
      <c r="N19" s="28"/>
      <c r="O19" s="28"/>
      <c r="P19" s="28"/>
      <c r="Q19" s="49"/>
      <c r="R19" s="49"/>
      <c r="S19" s="49"/>
      <c r="T19" s="49"/>
      <c r="U19" s="49"/>
      <c r="V19" s="50"/>
      <c r="W19" s="50"/>
      <c r="X19" s="50"/>
      <c r="Y19" s="50"/>
      <c r="Z19" s="50"/>
    </row>
    <row r="20" spans="1:26" ht="114.75" x14ac:dyDescent="0.2">
      <c r="A20" s="44"/>
      <c r="B20" s="23" t="s">
        <v>66</v>
      </c>
      <c r="C20" s="20" t="s">
        <v>16</v>
      </c>
      <c r="D20" s="23"/>
      <c r="E20" s="23"/>
      <c r="F20" s="22"/>
      <c r="G20" s="23"/>
      <c r="H20" s="28"/>
      <c r="I20" s="28"/>
      <c r="J20" s="28"/>
      <c r="K20" s="28"/>
      <c r="L20" s="48"/>
      <c r="M20" s="48"/>
      <c r="N20" s="48"/>
      <c r="O20" s="48"/>
      <c r="P20" s="48"/>
      <c r="Q20" s="49"/>
      <c r="R20" s="49"/>
      <c r="S20" s="49"/>
      <c r="T20" s="49"/>
      <c r="U20" s="49"/>
      <c r="V20" s="50"/>
      <c r="W20" s="50"/>
      <c r="X20" s="50"/>
      <c r="Y20" s="50"/>
      <c r="Z20" s="50"/>
    </row>
    <row r="21" spans="1:26" ht="89.25" x14ac:dyDescent="0.2">
      <c r="A21" s="44"/>
      <c r="B21" s="24" t="s">
        <v>80</v>
      </c>
      <c r="C21" s="20" t="s">
        <v>16</v>
      </c>
      <c r="D21" s="24"/>
      <c r="E21" s="24"/>
      <c r="F21" s="22"/>
      <c r="G21" s="23"/>
      <c r="H21" s="28"/>
      <c r="I21" s="28"/>
      <c r="J21" s="28"/>
      <c r="K21" s="28"/>
      <c r="L21" s="51"/>
      <c r="M21" s="51"/>
      <c r="N21" s="51"/>
      <c r="O21" s="51"/>
      <c r="P21" s="51"/>
      <c r="Q21" s="49"/>
      <c r="R21" s="49"/>
      <c r="S21" s="49"/>
      <c r="T21" s="49"/>
      <c r="U21" s="49"/>
      <c r="V21" s="50"/>
      <c r="W21" s="50"/>
      <c r="X21" s="50"/>
      <c r="Y21" s="50"/>
      <c r="Z21" s="50"/>
    </row>
    <row r="22" spans="1:26" ht="25.5" x14ac:dyDescent="0.2">
      <c r="A22" s="44"/>
      <c r="B22" s="24" t="s">
        <v>81</v>
      </c>
      <c r="C22" s="20" t="s">
        <v>16</v>
      </c>
      <c r="D22" s="24"/>
      <c r="E22" s="24"/>
      <c r="F22" s="22"/>
      <c r="G22" s="23"/>
      <c r="H22" s="28"/>
      <c r="I22" s="28"/>
      <c r="J22" s="28"/>
      <c r="K22" s="28"/>
      <c r="L22" s="51"/>
      <c r="M22" s="51"/>
      <c r="N22" s="51"/>
      <c r="O22" s="51"/>
      <c r="P22" s="51"/>
      <c r="Q22" s="49"/>
      <c r="R22" s="49"/>
      <c r="S22" s="49"/>
      <c r="T22" s="49"/>
      <c r="U22" s="49"/>
      <c r="V22" s="50"/>
      <c r="W22" s="50"/>
      <c r="X22" s="50"/>
      <c r="Y22" s="50"/>
      <c r="Z22" s="50"/>
    </row>
    <row r="23" spans="1:26" ht="51" x14ac:dyDescent="0.2">
      <c r="A23" s="44"/>
      <c r="B23" s="24" t="s">
        <v>82</v>
      </c>
      <c r="C23" s="20" t="s">
        <v>16</v>
      </c>
      <c r="D23" s="24"/>
      <c r="E23" s="24"/>
      <c r="F23" s="22"/>
      <c r="G23" s="23"/>
      <c r="H23" s="28"/>
      <c r="I23" s="28"/>
      <c r="J23" s="28"/>
      <c r="K23" s="28"/>
      <c r="L23" s="51"/>
      <c r="M23" s="51"/>
      <c r="N23" s="51"/>
      <c r="O23" s="51"/>
      <c r="P23" s="51"/>
      <c r="Q23" s="49"/>
      <c r="R23" s="49"/>
      <c r="S23" s="49"/>
      <c r="T23" s="49"/>
      <c r="U23" s="49"/>
      <c r="V23" s="50"/>
      <c r="W23" s="50"/>
      <c r="X23" s="50"/>
      <c r="Y23" s="50"/>
      <c r="Z23" s="50"/>
    </row>
    <row r="24" spans="1:26" ht="38.25" x14ac:dyDescent="0.2">
      <c r="A24" s="44"/>
      <c r="B24" s="24" t="s">
        <v>83</v>
      </c>
      <c r="C24" s="20" t="s">
        <v>16</v>
      </c>
      <c r="D24" s="24"/>
      <c r="E24" s="24"/>
      <c r="F24" s="22"/>
      <c r="G24" s="23"/>
      <c r="H24" s="28"/>
      <c r="I24" s="28"/>
      <c r="J24" s="28"/>
      <c r="K24" s="28"/>
      <c r="L24" s="48"/>
      <c r="M24" s="48"/>
      <c r="N24" s="48"/>
      <c r="O24" s="48"/>
      <c r="P24" s="48"/>
      <c r="Q24" s="49"/>
      <c r="R24" s="49"/>
      <c r="S24" s="49"/>
      <c r="T24" s="49"/>
      <c r="U24" s="49"/>
      <c r="V24" s="50"/>
      <c r="W24" s="50"/>
      <c r="X24" s="50"/>
      <c r="Y24" s="50"/>
      <c r="Z24" s="50"/>
    </row>
    <row r="25" spans="1:26" ht="51" x14ac:dyDescent="0.2">
      <c r="A25" s="44"/>
      <c r="B25" s="24" t="s">
        <v>84</v>
      </c>
      <c r="C25" s="20" t="s">
        <v>16</v>
      </c>
      <c r="D25" s="24"/>
      <c r="E25" s="24"/>
      <c r="F25" s="22"/>
      <c r="G25" s="23"/>
      <c r="H25" s="28"/>
      <c r="I25" s="28"/>
      <c r="J25" s="28"/>
      <c r="K25" s="28"/>
      <c r="L25" s="48"/>
      <c r="M25" s="48"/>
      <c r="N25" s="48"/>
      <c r="O25" s="48"/>
      <c r="P25" s="48"/>
      <c r="Q25" s="49"/>
      <c r="R25" s="49"/>
      <c r="S25" s="49"/>
      <c r="T25" s="49"/>
      <c r="U25" s="49"/>
      <c r="V25" s="50"/>
      <c r="W25" s="50"/>
      <c r="X25" s="50"/>
      <c r="Y25" s="50"/>
      <c r="Z25" s="50"/>
    </row>
    <row r="26" spans="1:26" ht="51" x14ac:dyDescent="0.2">
      <c r="A26" s="44"/>
      <c r="B26" s="23" t="s">
        <v>85</v>
      </c>
      <c r="C26" s="20" t="s">
        <v>16</v>
      </c>
      <c r="D26" s="23"/>
      <c r="E26" s="23"/>
      <c r="F26" s="22"/>
      <c r="G26" s="23"/>
      <c r="H26" s="28"/>
      <c r="I26" s="28"/>
      <c r="J26" s="28"/>
      <c r="K26" s="28"/>
      <c r="L26" s="48"/>
      <c r="M26" s="48"/>
      <c r="N26" s="48"/>
      <c r="O26" s="48"/>
      <c r="P26" s="48"/>
      <c r="Q26" s="49"/>
      <c r="R26" s="49"/>
      <c r="S26" s="49"/>
      <c r="T26" s="49"/>
      <c r="U26" s="49"/>
      <c r="V26" s="50"/>
      <c r="W26" s="50"/>
      <c r="X26" s="50"/>
      <c r="Y26" s="50"/>
      <c r="Z26" s="50"/>
    </row>
    <row r="27" spans="1:26" ht="38.25" x14ac:dyDescent="0.2">
      <c r="A27" s="44"/>
      <c r="B27" s="24" t="s">
        <v>86</v>
      </c>
      <c r="C27" s="20" t="s">
        <v>16</v>
      </c>
      <c r="D27" s="24"/>
      <c r="E27" s="24"/>
      <c r="F27" s="22"/>
      <c r="G27" s="23"/>
      <c r="H27" s="28"/>
      <c r="I27" s="28"/>
      <c r="J27" s="28"/>
      <c r="K27" s="28"/>
      <c r="L27" s="48"/>
      <c r="M27" s="48"/>
      <c r="N27" s="48"/>
      <c r="O27" s="48"/>
      <c r="P27" s="48"/>
      <c r="Q27" s="49"/>
      <c r="R27" s="49"/>
      <c r="S27" s="49"/>
      <c r="T27" s="49"/>
      <c r="U27" s="49"/>
      <c r="V27" s="50"/>
      <c r="W27" s="50"/>
      <c r="X27" s="50"/>
      <c r="Y27" s="50"/>
      <c r="Z27" s="50"/>
    </row>
  </sheetData>
  <phoneticPr fontId="4" type="noConversion"/>
  <conditionalFormatting sqref="C13:C27">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3:C27" xr:uid="{38BA059D-5EDB-4357-88B1-0E1E6D87FA73}">
      <formula1>"Open,Closed,N/A"</formula1>
    </dataValidation>
  </dataValidations>
  <pageMargins left="0.25" right="0.25" top="0.32" bottom="0.31"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17B6BA0D-62D3-4473-B302-3D095B8EF2BB}"/>
</file>

<file path=customXml/itemProps2.xml><?xml version="1.0" encoding="utf-8"?>
<ds:datastoreItem xmlns:ds="http://schemas.openxmlformats.org/officeDocument/2006/customXml" ds:itemID="{A08AF79D-8879-40A5-89D6-D7E115A4813C}"/>
</file>

<file path=customXml/itemProps3.xml><?xml version="1.0" encoding="utf-8"?>
<ds:datastoreItem xmlns:ds="http://schemas.openxmlformats.org/officeDocument/2006/customXml" ds:itemID="{83F00B02-6539-44CA-9DCD-D51266AD1A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HEC-HMS Event</vt:lpstr>
      <vt:lpstr>HEC-HMS Continuous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2026-10-08T02:49:21Z</dcterms:created>
  <dcterms:modified xsi:type="dcterms:W3CDTF">2026-10-08T02:49:29Z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