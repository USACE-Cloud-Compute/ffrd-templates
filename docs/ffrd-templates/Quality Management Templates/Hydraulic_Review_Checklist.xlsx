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478DBA5C-B281-4805-B5EC-A1D54B437C55}" xr6:coauthVersionLast="47" xr6:coauthVersionMax="47" xr10:uidLastSave="{00000000-0000-0000-0000-000000000000}"/>
  <bookViews>
    <workbookView xWindow="28680" yWindow="-90" windowWidth="29040" windowHeight="15690" tabRatio="872" xr2:uid="{00000000-000D-0000-FFFF-FFFF00000000}"/>
  </bookViews>
  <sheets>
    <sheet name="HEC-RA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alcChain>
</file>

<file path=xl/sharedStrings.xml><?xml version="1.0" encoding="utf-8"?>
<sst xmlns="http://schemas.openxmlformats.org/spreadsheetml/2006/main" count="255" uniqueCount="141">
  <si>
    <t>Modeling Unit Name</t>
  </si>
  <si>
    <t>Review Date</t>
  </si>
  <si>
    <t>Modeler</t>
  </si>
  <si>
    <t>Review Complete Date</t>
  </si>
  <si>
    <t>Open Comments</t>
  </si>
  <si>
    <t>Comment Status</t>
  </si>
  <si>
    <t>ID</t>
  </si>
  <si>
    <t>Review Item Description</t>
  </si>
  <si>
    <t>Reviewer Comments</t>
  </si>
  <si>
    <t>Backcheck/Close-out Commentary</t>
  </si>
  <si>
    <t>Project Setup - General</t>
  </si>
  <si>
    <t>Open</t>
  </si>
  <si>
    <t>Is the RAS model in the correct units (US foot)?</t>
  </si>
  <si>
    <t>Have the appropriate naming conventions been followed?  This includes the Project Name as well as the geometries, plans and flow files (see SOP for naming conventions).</t>
  </si>
  <si>
    <t xml:space="preserve">Does the model include specified scenarios for calibration and validation of model parameters? </t>
  </si>
  <si>
    <t>Verify that the shapefiles and DEMs are in the correct projection. (see SOP for details on projection)</t>
  </si>
  <si>
    <t>Have excess RAS files (geometries, plans, flow files, etc.) that weren't used or could be consolidated been removed??</t>
  </si>
  <si>
    <t>Have  excess RAS output files (.DSS, .rxx,.Oxx, etc.) that relate to deleted plans been removed.</t>
  </si>
  <si>
    <t xml:space="preserve">Is the DEM adequate to produce an effective model? Overall, are there problem areas in the DEM that could significantly alter the modeling results? </t>
  </si>
  <si>
    <t>Is the DEM in the correct vertical datum?</t>
  </si>
  <si>
    <t>Does the DEM provide adequate coverage to provide sufficient mapping?</t>
  </si>
  <si>
    <t>Terrain</t>
  </si>
  <si>
    <t>Is the DEM quality acceptable? Have topographic abnormalities been corrected?</t>
  </si>
  <si>
    <t xml:space="preserve">Are the vertical and horizontal distances in the same unit (ft)? </t>
  </si>
  <si>
    <t xml:space="preserve">Does the terrain cover the entire 2D study area? </t>
  </si>
  <si>
    <t>Mesh Geometry</t>
  </si>
  <si>
    <t>Is the model domain delineated properly to capture all contributing flows through rain-on-grid or external hydrograph?</t>
  </si>
  <si>
    <t>Is the overall inundation quality acceptable? Can finer 2D cells improve the results? Ensure an appropriate RAS Mapper rendering mode is used to yield the best mapping results.  (see SOP for recommendations)</t>
  </si>
  <si>
    <t>Are terrain modifications utilized to allow flow to pass mesh-enforced high ground/embankments where openings exist ? Does the width of the terrain modification reasonably coincide with the opening of the structure (bridge/culvert)? (Check last timestep of model to see if there is excess back up of water anywhere.)</t>
  </si>
  <si>
    <t>If hydraulic structures are modeled (bridges, weirs, gates, pumps, etc.) are they modeled appropriately? Are modeled geometries and operational parameters consistent with source data (as-builts, survey, O&amp;M manuals, etc.)?</t>
  </si>
  <si>
    <t>Has a roughness coefficient been assigned to each cell? Is the assignment of roughness to each cell face reasonable (spot check select cells, with focus on cells referencing calibration regions)?  'Spatially Varied Manning's on Faces' is recommended as default. If this option is not selected, are alternative methods (e.g. blurring) reasonably representative?</t>
  </si>
  <si>
    <t>If global override or calibration regions are used to modify the base roughness values, are they reasonably appropriate for local conditions?</t>
  </si>
  <si>
    <t>Was the breach location consistent with the data provided from risk evaluations?</t>
  </si>
  <si>
    <t>Event Selection &amp; Boundary Conditions</t>
  </si>
  <si>
    <t>Are Base Flow boundaries laid out consistent with the HEC-HMS model boundaries and accumulation locations?</t>
  </si>
  <si>
    <t>Are boundary condition lines appropriately assigned to reasonably distribute flow?</t>
  </si>
  <si>
    <t xml:space="preserve">Are the terrain and land cover files correctly associated to the geometry and results layers? </t>
  </si>
  <si>
    <t>Model Stability / Runtime / Calculation Options</t>
  </si>
  <si>
    <t>Is the timestep appropriate for the mesh size and calculated velocities (are the associated Courant numbers reasonable)? Could these be modified to yield more efficient computation times without sacrificing quality/accuracy?</t>
  </si>
  <si>
    <t>Is "Advanced Time Step Control" used to adjust the Computation Time Step?  Maximum Courant for Diffusion Wave should be 3.0 and for SWE should be 2.0.</t>
  </si>
  <si>
    <t>Volume accounting in the output (BCO files-Computation log file) show acceptable results? Typically this should be well less than 1% however, there can be instances with small non-contributing areas with large percent errors due to the small inflows. Percent error values greater than 3% indicate that there are major problems with the model</t>
  </si>
  <si>
    <t>Are both the "hydrograph output interval" and "mapping output interval" set at a reasonable interval to capture peak flows within the model? Both should be set the same and are generally set to 1 hour for use in calibration statistics.</t>
  </si>
  <si>
    <t>Are all water-surface elevation convergence warning messages acceptable per computation tolerances? (&lt;0.2 ft and converging)</t>
  </si>
  <si>
    <t xml:space="preserve">Are any of the computed/mapped maximum depth, WSEL, and velocity values from numerical surge at the beginning of model? Have instances of model instabilities at the beginning of the simulation due to initial wetting of a dry grid been addressed? </t>
  </si>
  <si>
    <t>Calibration &amp; Goodness of Fit</t>
  </si>
  <si>
    <t xml:space="preserve">Is the method for model calibration documented and appropriate? Was documentation provided (calibration spreadsheet)? Was the calibration evaluated based on the standard set of metrics defined in the FFRD Draft guidance? </t>
  </si>
  <si>
    <t>Did the Primary Gages reach 'Satisfactory' or better for flow &amp; stage for all calibration events? If not, is there hydraulic justification?</t>
  </si>
  <si>
    <t>Did the Secondary Gages reach 'Satisfactory' or better for flow &amp; stage for all calibration events? If not, is there hydraulic justification?</t>
  </si>
  <si>
    <t>Did the Tertiary Gages reach 'Satisfactory' or better for flow &amp; stage for all calibration events? If not, is there hydraulic justification?</t>
  </si>
  <si>
    <t>Are there any areas with long ponding durations? If yes, have they been evaluated, documented, and adjusted to address areas where ponding was unintended or could negatively influence results, locally and downstream?</t>
  </si>
  <si>
    <t>Are the stage and flow hydrographs at key locations reasonable?</t>
  </si>
  <si>
    <t>FFRD Standardization &amp; Documentation &amp; Delivery</t>
  </si>
  <si>
    <t>Are all of the files in the model correctly linked? Any broken links?</t>
  </si>
  <si>
    <t xml:space="preserve">Does the model report clearly show a map of the model extent and the study extent and clarify if they are different? </t>
  </si>
  <si>
    <t>Are the any specific pieces of technical information that were noted as missing from the report? Please provide any substantive or editorial comments for the provided report directly in the report document review/comment area.</t>
  </si>
  <si>
    <t>Has all model data, support data and report been uploaded to the Model Library for review</t>
  </si>
  <si>
    <t>Was the official version of the DEM provided used for model development? (central DEMs are produced during scoping phase and posted to 'terrain-base' directory)</t>
  </si>
  <si>
    <t>FFRD Project Name</t>
  </si>
  <si>
    <t>Does the DEM represent bare-earth?</t>
  </si>
  <si>
    <t xml:space="preserve">Is the appropriate project projection referenced by the model geometry? Was reprojection required and is it adequately documented? </t>
  </si>
  <si>
    <t>Does the mesh include appropriate detail as called for in the SOP in the "Background Mesh Areas", "Urban Areas", "Key Streams (including floodplains)", and "Secondary Streams"?</t>
  </si>
  <si>
    <t>Are all time series inputs in the GMT time zone?</t>
  </si>
  <si>
    <t>Quality Reviewer</t>
  </si>
  <si>
    <t>Response Date</t>
  </si>
  <si>
    <t>Comments / Assumptions / Justifications</t>
  </si>
  <si>
    <t xml:space="preserve">Resolution of Reviewer Comments </t>
  </si>
  <si>
    <t>Do reservoirs with bathymetric data include initial conditions (IC) points to specify the starting pool elevation (following SOP guidance)?</t>
  </si>
  <si>
    <t>Are levee interior drainage system features included in the model appropriately? This includes gravity drain culverts (with or without flap gates), pump stations, ponding areas, etc.</t>
  </si>
  <si>
    <t>Were efforts made to optimize runtime and reduce model iteration? Cells which experience excessive iteration during runtime should be investigated. Often times cells with very steep elevation-volume property tables cause excessive iteration and these cell's alignment can be modified to improve stability.</t>
  </si>
  <si>
    <t>Have model results been compared to elevation-discharge rating curves for goodness of fit? Is the comparison acceptable?</t>
  </si>
  <si>
    <t>Have the mapping results from the calibration events been evaluated using the National Structure Inventory structure placements?  Are any structures experiencing significant depths for non-flood flows? Do these results indicate an issue with the terrain or hydraulic model?</t>
  </si>
  <si>
    <t>Did the breach inputs from the simplified physical method produce reasonable parameters during the stress testing.</t>
  </si>
  <si>
    <t>Are all required saved output locations at reference points and reference lines included in the model?  Do they follow the standard naming conventions?</t>
  </si>
  <si>
    <t>Have break line cell size, near repeats, and enforcement been appropriately applied to capture topographic restraints and local hydraulics?</t>
  </si>
  <si>
    <t>Were levee breach scenarios developed and computed as part of the stress testing?</t>
  </si>
  <si>
    <t>Are boundary conditions data sources, such as inflow, baseflow, and precipitation .dss files, accurately linked? Confirm that unsteady baseflow values are not hardcoded. Was a minimum flow or multiplier assigned to baseflows?</t>
  </si>
  <si>
    <t xml:space="preserve">Does the overall runtime for each scenario meet the FFRD standard? Are there obvious ways to reduce computational runtime without sacrificing model accuracy? (e.g. increase computational interval, increase cell size within refinement regions or along break lines,...)  Would a sacrifice in model accuracy be acceptable, either locally or globally? </t>
  </si>
  <si>
    <t>Are the modeled flood depths, water surface elevations and velocities in the reasonable range and make sense? Does the mapped floodplain look reasonable? If possible, compare the mapped floodplain with the and original 2D BLE floodplain; if there are major areas of discrepancy, try to determine if mesh refinement or additional break lines maybe be warranted. Note that the original 2D BLE floodplain may not necessarily be "correct."</t>
  </si>
  <si>
    <t>Was the structure inventory developed during the data preparation phase utilized to aid in hydraulic model development?</t>
  </si>
  <si>
    <t>Was the consequences team review performed using the consequences checklist? Have any comments related to the hydraulic model been addressed?</t>
  </si>
  <si>
    <t>Levees Geometry &amp; Breaches</t>
  </si>
  <si>
    <t>Dams Geometry and Breaches</t>
  </si>
  <si>
    <t>Do the system response curve elevation ranges match the levee toe and crest elevations documented in the breach location attribute table?</t>
  </si>
  <si>
    <t>Is the terrain above the dam adequate to support breaches with the selected invert? Also adequate to support all possible sampled starting pool elevations?</t>
  </si>
  <si>
    <t>Has the overview model description been included on the description tab on the main HEC-RAS menu (including all requirements specified in the SOP)?</t>
  </si>
  <si>
    <t>Consequences Review of Hydraulic Results</t>
  </si>
  <si>
    <t>Were the consequences team members alerted that the hydraulic model has been submitted for review?</t>
  </si>
  <si>
    <t>Are any observed datasets used at boundary conditions? And if so, have they been appropriately adjusted from period-average values to instantaneous flow values to preserve the period average information when converted to instantaneous values?</t>
  </si>
  <si>
    <t>What version of HEC-RAS was used to run the model? Does it match the version called out in the Project Work Plan?</t>
  </si>
  <si>
    <t>Were the hydraulic model results at interfaces between hydraulic model units checked for reasonableness? This may include areas where model extents were extended downstream to results in the study area are not impacted by the estimated downstream boundary condition.</t>
  </si>
  <si>
    <t>Is the downstream boundary condition appropriate? Does it yield unreasonable results within one floodplain width of the boundary? A stage-discharge rating curve informed by model results from the next downstream model unit may be appropriate/required to capture backwater effects. Extending the 2D model domain downstream to overlap with adjacent model unit areas may be required to improve boundary condition representation.</t>
  </si>
  <si>
    <t>Did the model simulation start and end times conform to the standard time window? Does this window cover the entire event period?</t>
  </si>
  <si>
    <t>Are any additional output options enabled to be written with results? These would be selected in the "Plan &gt; Options &gt; Output Options …" window. Enabling these options can be useful for troubleshooting model issues, but can result in significantly increased file sizes and these should be disabled prior to the conformance phase of hydraulic model simulation.</t>
  </si>
  <si>
    <t>Have observed data been entered at gage locations and associated with reference points/lines? Entering published stage-discharge relationships and associating these data with a reference line is highly recommended for comparison of model results with published data.</t>
  </si>
  <si>
    <t>Are reference lines enforced with a breakline such that the reference line falls along 2D cell faces? Reference lines should not be placed on top of SA/2D connections as they will not capture flow passed through these connections, rather they should be placed US or DS over 2D cell faces.</t>
  </si>
  <si>
    <t>Do reference lines span the full floodplain width such that flows will not flank around the reference line even during extreme floods and dam breaches? If the flow area captured by a reference line differs from flow area captured by USGS measurements, are these instances and discrepancies documented?</t>
  </si>
  <si>
    <t>Does the 2D model domain (i.e. perimeter) agree with the watershed boundary indicated by the terrain DEM? Are there areas where culverts, bridges, canals, or other features modify the watershed boundary which are not captured by the 2D model domain? (The 2D domain was likely generated from a coarser resolution DEM and therefore there may be disagreement between watershed boundaries generated from this DEM and the higher-resolution modeling terrain.)</t>
  </si>
  <si>
    <t>Are reference points placed within a deep portion of the stream channel? Placement of reference points will likely not correspond to the exact latitude/longitude points reported by the USGS.</t>
  </si>
  <si>
    <t>Are any Restart Files or initial conditions being used to 'wet start' or 'warmup' the model?  If so, are they justified and appropriate?  Restart files are not preferred.</t>
  </si>
  <si>
    <t>For dams where a timeseries of releases is specified, 'GIS centerline coordinates' should be specified to define precisely where flow is taken from and transferred to. The upstream end of this centerline should connect to a relatively large 2D cell within the reservoir so that adequate volume is available to be extracted from that cell during a single timestep even when large releases are called for. Small cells connected to a structure with large releases can result in model stability problems.</t>
  </si>
  <si>
    <r>
      <t xml:space="preserve">Have sufficient break lines been delineated and added to the 2D mesh define topographic restraints such as hydrologic divides (ridgelines), roads, railroads, dams, levees, diversions, and natural high ground areas? Break lines should be used to ensure all relevant barriers to flow are represented in the model. </t>
    </r>
    <r>
      <rPr>
        <b/>
        <sz val="10"/>
        <rFont val="Arial"/>
        <family val="2"/>
      </rPr>
      <t>Break lines must be enforced properly to ensure cell faces snap to break lines.</t>
    </r>
    <r>
      <rPr>
        <sz val="10"/>
        <rFont val="Arial"/>
        <family val="2"/>
      </rPr>
      <t xml:space="preserve"> Particular attention is required wherever break lines cross or become close enough such that their enforcement conflicts with one another. Manual editing to the 2D cell points may be required for cell faces to snap to breaklines.</t>
    </r>
  </si>
  <si>
    <t>Is the 2D mesh appropriately representing the damming surface of the dam embankment? Do 2D cell faces snap perfectly to SA/2D connection structures? Can flows 'leak' through the embankment at high pools due to poor 2D cell meshing?</t>
  </si>
  <si>
    <t>Is the 2D mesh appropriately representing the damming surface of the levee embankment? Do 2D cell faces snap perfectly to SA/2D connection structures? Can flows 'leak' through the embankment at high pools due to poor 2D cell meshing?</t>
  </si>
  <si>
    <t>Are there areas where levees and/or roads need to be better defined in the DEM which are not included in the NLD? Hydraulic controls such as high ground must be adequately represented in the terrain.</t>
  </si>
  <si>
    <t>If multiple topo sources used, are all terrains projected in the correct coordinate system? Were vertical datum adjustments required and documented? Do the different terrain sources tie into one another well?</t>
  </si>
  <si>
    <t>What is the source of channel bathymetry? Is it bathymetry correctly added to terrain and does it seem reasonable at transitions, if applicable?</t>
  </si>
  <si>
    <t>Are terrain modifications used and applied correctly to locally correct terrain? Are bridges and culverts represented with terrain modifications where appropriate? Has reservoir bathymetry been added using terrain modifications, and if so, is it reasonable?</t>
  </si>
  <si>
    <t xml:space="preserve">What nominal cell resolution was used and is it consistent with the SOP? Is it appropriately sized to limit cell count while obtain reasonable results and runtimes? </t>
  </si>
  <si>
    <t>Has manual hand-editing of 2D cell points taken place to ensure 2D cell faces respect high ground and hydraulic controls? If hand-editing has not been performed, is mesh quality sufficient?</t>
  </si>
  <si>
    <t xml:space="preserve">Have refinement regions been used and are they appropriately located? (channel banks, developed areas, etc.) Have decisions about refinement regions been appropriately documented and follow the SOP guidelines? If used to define a channel does the refinement region boundary capture adjacent hydraulic control (top of bank)? </t>
  </si>
  <si>
    <t>Are refinement region cell sizes and enforcement appropriate for the intended purpose (balancing hydraulic detail and computation time)? Do they adequately describe the water surface slope and potential changes in water surface slope (i.e., is enough detail being captured by a reduced cell size)? Even within refinement regions, breaklines may be required to ensure hydraulic controls such as high ground and channel constrictions are respected by the 2D mesh.</t>
  </si>
  <si>
    <t>Are there any other major features in the basin that affect characteristics of flooding? Are they adequately accounted for in the model construction? (e.g. bridges, gated weirs, stormwater ponding areas, pump stations, ground water recharge areas, low-head dams, etc.)</t>
  </si>
  <si>
    <t>Is the source for hydraulic roughness values documented and reasonable? (NLCD, image based delineation, etc.) Are the base n-value assignments appropriate? Area stream channel areas for Key and Secondary streams well defined from a roughness perspective?</t>
  </si>
  <si>
    <t xml:space="preserve">Does the model account for flow-regulating dams as specified in the Dam Scoping Table? Were they appropriately modeled? Modeling of dams varies depending on the scope specified for each structure.
</t>
  </si>
  <si>
    <t>Are there any dams present in the model which are not included in the Dam Scoping Table? Are these dams modeled appropriately? Do any of these dams merit additional coordination with the Model Team Lead or HMS/ResSim modelers?</t>
  </si>
  <si>
    <t>Do reservoirs have breaches modeled per the Dam Scoping Table? Are breach locations and parameters appropriate? Have these breach parameters been coordinated with the Dam Data lead?</t>
  </si>
  <si>
    <t>Do the system response curve elevation ranges match the dam toe and crest elevations documented in the breach location attribute table?</t>
  </si>
  <si>
    <t>Have stress tests been performed to evaluate model stability robustness and breach performance? If so, were they acceptable. This is for both dam and levee breaches.</t>
  </si>
  <si>
    <t>Does the NLD crest information agree with the terrain indicated crest? If not, have these areas been examined and explained? Is the modeled crest profile appropriate? Is the levee centerline alignment appropriate?</t>
  </si>
  <si>
    <t>Are the breach parameters consistent with the current SOP guidance for breach invert, breach mode, formation time? Were these breach parameters coordinated with the Levee Data Lead?</t>
  </si>
  <si>
    <t>Are the storm events used for calibration documented and consistent with selected calibration effects from the scoping effort? Were all calibration/validation events run?</t>
  </si>
  <si>
    <t>Are Key and Secondary streams appropriately meshed with breaklines and cell alignment? Are levee-like features along the rivers' banks defined by breaklines and respected by the 2D cell mesh to properly represent overbanking flows? Are 2D cells generally aligned with the flow direction? (https://www.hec.usace.army.mil/confluence/rasdocs/hgt/latest/guides/aligning-cell-faces-in-channels-with-refinement-regions)</t>
  </si>
  <si>
    <t>Are the plan file Calculation Options and Tolerances set to default values?  If not, what changes were made?</t>
  </si>
  <si>
    <t xml:space="preserve">What 2D equation set was used and is it appropriate?  Was a sensitivity analysis done on the 2D equation sets and if so, was there a significant difference?  If so, the Full Momentum should be considered more accurate? Examples of when Full Momentum should be considered include highly dynamic flood waves (i.e. flood wave rises and falls extremely quickly), abrupt contractions and expansions, tidally influenced conditions, wave propagation modeling, super elevation around bends, etc.)
</t>
  </si>
  <si>
    <t>Can the "computation log file" and "runtime messages" be seen for each plan? Do these files indicate outstanding issues with the model?</t>
  </si>
  <si>
    <t>Have internal connections been enforced as break lines into the 2D mesh? Areas where break lines intersect or come near 2D structures should be inspected to ensure 2D cell faces are snapped to the structure centerline.</t>
  </si>
  <si>
    <t>Internal Connection:  Has an appropriate overflow computation method been selected (2D equation or weir equation)? If the weir equation has been selected is the weir coefficient of discharge reasonable? https://www.hec.usace.army.mil/confluence/rasdocs/hgt/latest/guides/modeling-weirs-in-2d-areas</t>
  </si>
  <si>
    <t>What RAS model version used for the model? Is it clearly documented and does it match the version specified during the Scoping Phase?</t>
  </si>
  <si>
    <t>Naming Conventions: Do the RAS model files follow the FFRD guidance for standardization?</t>
  </si>
  <si>
    <t>Are the any extraneous/unused/unnecessary files saved with the project?  Does the output DSS file include additional information for un-used or out-of-date runs? Has the model and its directory been cleaned of all extraneous files and "working" data, such as previous geometry iterations, unused plans, and extraneous flow files, etc.? For models with large file sizes has the "PostProcessing.hdf" file been removed from each map folder within the RAS model. Have all temporary and interim project files been deleted from the model? Have all unused output files been deleted from the project directory?</t>
  </si>
  <si>
    <t>Does the written documentation of this model sufficiently support the modelling effort? Is the report content in a "final" state and ready for editor review &amp; publishing? Does the report document calibration efforts and any unique modeling scenarios dealt with during model development? Are outstanding model limitations and assumptions well documented?</t>
  </si>
  <si>
    <t>Do reservoirs include bathymetry appropriate for their type based on the Dam Scoping Table? Does the elevation-storage represented by the terrain bathymetry match the best available information? Is the elevation-storage relationship consistent between RAS, ResSIM, and HMS models?</t>
  </si>
  <si>
    <t>Do reservoirs contain appropriate outlets as defined in the Dam Scoping Table? (e.g. timeseries of releases, elevation-discharge rating curve, etc.)</t>
  </si>
  <si>
    <t>Where appropriate, do reservoirs include a small notch to simulate a low-level outlet according to the Dam Scoping Table? Is the invert elevation of this notch appropriate?</t>
  </si>
  <si>
    <t>Are there areas where water pools against the model boundary? Do these areas require additional boundary conditions to remove flow from model unit? If so, does this outflow need to be coordinated with adjacent model units so they can appropriately receive flow?</t>
  </si>
  <si>
    <t>Are there any red flags for model stability? (maximum water surface error, extreme velocities, extreme and/or rapid changes in WSE, unstable SA/2D and/or BC hydrographs, etc.). Inundation should be animated and examined in RAS Mapper for signs of instability. Are there oscillations in WSE or velocity that are associated with instability? Ensure that the output timestep is not inadvertently hiding these oscillations through aliasing.</t>
  </si>
  <si>
    <t>Were Levees in the basin appropriately modeled? Is the Crest Elevation Profile consistent with the NLD? Are there any inaccurate low-spots in crest profile within the model? Levee closure locations and road/railroad crossings should be examined to ensure the levee crest is appropriately modeled.</t>
  </si>
  <si>
    <t>Was an simulation performed to induce overtopping of levees and identify a levee control location (LCL)? This should be done in addition to stress testing with breaches.</t>
  </si>
  <si>
    <t>Have reference lines and reference points been appropriately included in the model as described by the SOP? Are naming conventions met? Reference points are required at several locations near levees and also at gage locations (refer to SOP).</t>
  </si>
  <si>
    <t>Has the modeling terrain been uploaded to the correct location on Model Library ("terrain-modeling" folder)? This includes all .tif files, .vrt, and .hdf file (which must include vector terrain modifications).</t>
  </si>
  <si>
    <t>Has the terrain been resampled to a single raster dataset at a coarser resolution and uploaded to the correct location on the model library ("terrain-mapping"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</si>
</sst>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2" x14ac:knownFonts="1">
    <font>
      <sz val="10"/>
      <color theme="1"/>
      <name val="Arial"/>
      <family val="2"/>
    </font>
    <font>
      <sz val="11"/>
      <color theme="1"/>
      <name val="Calibri"/>
      <family val="2"/>
      <scheme val="minor"/>
    </font>
    <font>
      <sz val="11"/>
      <color theme="1"/>
      <name val="Calibri"/>
      <family val="2"/>
      <scheme val="minor"/>
    </font>
    <font>
      <b/>
      <sz val="10"/>
      <color theme="1"/>
      <name val="Arial"/>
      <family val="2"/>
    </font>
    <font>
      <u/>
      <sz val="10"/>
      <color theme="10"/>
      <name val="Arial"/>
      <family val="2"/>
    </font>
    <font>
      <sz val="10"/>
      <color rgb="FFFF0000"/>
      <name val="Arial"/>
      <family val="2"/>
    </font>
    <font>
      <sz val="10"/>
      <color theme="3" tint="0.39997558519241921"/>
      <name val="Arial"/>
      <family val="2"/>
    </font>
    <font>
      <sz val="10"/>
      <name val="Arial"/>
      <family val="2"/>
    </font>
    <font>
      <sz val="10"/>
      <color theme="9" tint="-0.249977111117893"/>
      <name val="Arial"/>
      <family val="2"/>
    </font>
    <font>
      <sz val="8"/>
      <name val="Arial"/>
      <family val="2"/>
    </font>
    <font>
      <b/>
      <sz val="10"/>
      <name val="Arial"/>
      <family val="2"/>
    </font>
    <font>
      <sz val="10"/>
      <color rgb="FF00B050"/>
      <name val="Arial"/>
      <family val="2"/>
    </font>
  </fonts>
  <fills count="7">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C7CE"/>
        <bgColor indexed="64"/>
      </patternFill>
    </fill>
    <fill>
      <patternFill patternType="solid">
        <fgColor rgb="FFFFFFFF"/>
        <bgColor rgb="FF000000"/>
      </patternFill>
    </fill>
    <fill>
      <patternFill patternType="solid">
        <fgColor theme="0" tint="-0.3499862666707357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2" fillId="0" borderId="0"/>
    <xf numFmtId="0" fontId="1" fillId="0" borderId="0"/>
    <xf numFmtId="0" fontId="4" fillId="0" borderId="0" applyNumberFormat="0" applyFill="0" applyBorder="0" applyAlignment="0" applyProtection="0"/>
  </cellStyleXfs>
  <cellXfs count="100">
    <xf numFmtId="0" fontId="0" fillId="0" borderId="0" xfId="0"/>
    <xf numFmtId="0" fontId="3" fillId="0" borderId="0" xfId="0" applyFont="1" applyAlignment="1">
      <alignment horizontal="left"/>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2" borderId="10" xfId="0" applyFont="1" applyFill="1" applyBorder="1" applyAlignment="1">
      <alignment horizontal="left" vertical="top" wrapText="1"/>
    </xf>
    <xf numFmtId="0" fontId="6"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6" fillId="2" borderId="11" xfId="0" applyFont="1" applyFill="1" applyBorder="1" applyAlignment="1">
      <alignment horizontal="left" vertical="top" wrapText="1"/>
    </xf>
    <xf numFmtId="0" fontId="0" fillId="3" borderId="2" xfId="0" applyFill="1" applyBorder="1" applyAlignment="1">
      <alignment horizontal="left"/>
    </xf>
    <xf numFmtId="0" fontId="0" fillId="3" borderId="3" xfId="0" applyFill="1" applyBorder="1" applyAlignment="1">
      <alignment horizontal="left"/>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7" fillId="2" borderId="10" xfId="0" applyFont="1" applyFill="1" applyBorder="1" applyAlignment="1">
      <alignment horizontal="left" vertical="top" wrapText="1"/>
    </xf>
    <xf numFmtId="0" fontId="7"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7" fillId="0" borderId="10" xfId="0" applyFont="1" applyBorder="1" applyAlignment="1">
      <alignment horizontal="left" vertical="top" wrapText="1"/>
    </xf>
    <xf numFmtId="0" fontId="7" fillId="0" borderId="1" xfId="0" applyFont="1" applyBorder="1" applyAlignment="1">
      <alignment horizontal="left" vertical="top"/>
    </xf>
    <xf numFmtId="0" fontId="7" fillId="2" borderId="11" xfId="0" applyFont="1" applyFill="1" applyBorder="1" applyAlignment="1">
      <alignment horizontal="left" vertical="top" wrapText="1"/>
    </xf>
    <xf numFmtId="0" fontId="8" fillId="0" borderId="1" xfId="0" applyFont="1" applyBorder="1" applyAlignment="1">
      <alignment horizontal="left" vertical="top" wrapText="1"/>
    </xf>
    <xf numFmtId="49" fontId="8" fillId="2" borderId="1" xfId="0" applyNumberFormat="1" applyFont="1" applyFill="1" applyBorder="1" applyAlignment="1">
      <alignment horizontal="lef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8" fillId="2" borderId="1" xfId="0" applyFont="1" applyFill="1" applyBorder="1" applyAlignment="1">
      <alignment horizontal="left" vertical="top" wrapText="1"/>
    </xf>
    <xf numFmtId="0" fontId="7" fillId="0" borderId="11" xfId="0" applyFont="1" applyBorder="1" applyAlignment="1">
      <alignment horizontal="left" vertical="top" wrapText="1"/>
    </xf>
    <xf numFmtId="0" fontId="8" fillId="0" borderId="0" xfId="0" applyFont="1" applyAlignment="1">
      <alignment vertical="top"/>
    </xf>
    <xf numFmtId="0" fontId="8" fillId="2" borderId="10" xfId="0" applyFont="1" applyFill="1" applyBorder="1" applyAlignment="1">
      <alignment horizontal="left" vertical="top" wrapText="1"/>
    </xf>
    <xf numFmtId="0" fontId="7" fillId="0" borderId="3" xfId="0" applyFont="1" applyBorder="1" applyAlignment="1">
      <alignment vertical="top" wrapText="1"/>
    </xf>
    <xf numFmtId="0" fontId="0" fillId="0" borderId="3" xfId="0" applyBorder="1" applyAlignment="1">
      <alignment vertical="top" wrapText="1"/>
    </xf>
    <xf numFmtId="0" fontId="0" fillId="0" borderId="2" xfId="0" applyBorder="1" applyAlignment="1">
      <alignment vertical="top" wrapText="1"/>
    </xf>
    <xf numFmtId="0" fontId="7" fillId="0" borderId="2" xfId="0" applyFont="1" applyBorder="1" applyAlignment="1">
      <alignment vertical="top" wrapText="1"/>
    </xf>
    <xf numFmtId="0" fontId="7" fillId="0" borderId="13" xfId="0" applyFont="1" applyBorder="1" applyAlignment="1">
      <alignment vertical="top" wrapText="1"/>
    </xf>
    <xf numFmtId="0" fontId="7" fillId="0" borderId="0" xfId="0" applyFont="1" applyAlignment="1">
      <alignment vertical="top" wrapText="1"/>
    </xf>
    <xf numFmtId="49" fontId="7" fillId="0" borderId="3" xfId="0" applyNumberFormat="1" applyFont="1" applyBorder="1" applyAlignment="1">
      <alignment horizontal="left" vertical="top" wrapText="1"/>
    </xf>
    <xf numFmtId="49" fontId="7" fillId="0" borderId="12" xfId="0" applyNumberFormat="1" applyFont="1" applyBorder="1" applyAlignment="1">
      <alignment horizontal="left" vertical="top" wrapText="1"/>
    </xf>
    <xf numFmtId="0" fontId="7" fillId="0" borderId="3" xfId="0" applyFont="1" applyBorder="1" applyAlignment="1">
      <alignment horizontal="left" vertical="top" wrapText="1"/>
    </xf>
    <xf numFmtId="0" fontId="7" fillId="0" borderId="12" xfId="0" applyFont="1" applyBorder="1" applyAlignment="1">
      <alignment horizontal="left" vertical="top" wrapText="1"/>
    </xf>
    <xf numFmtId="0" fontId="7" fillId="0" borderId="12" xfId="0" applyFont="1" applyBorder="1" applyAlignment="1">
      <alignment vertical="top" wrapText="1"/>
    </xf>
    <xf numFmtId="0" fontId="7" fillId="0" borderId="1" xfId="0" applyFont="1" applyBorder="1" applyAlignment="1">
      <alignment vertical="top" wrapText="1"/>
    </xf>
    <xf numFmtId="0" fontId="5" fillId="0" borderId="1" xfId="0" applyFont="1" applyBorder="1" applyAlignment="1">
      <alignment vertical="top"/>
    </xf>
    <xf numFmtId="0" fontId="5" fillId="4" borderId="0" xfId="0" applyFont="1" applyFill="1" applyAlignment="1">
      <alignment horizontal="center"/>
    </xf>
    <xf numFmtId="0" fontId="10" fillId="3" borderId="1" xfId="0" applyFont="1" applyFill="1" applyBorder="1" applyAlignment="1">
      <alignment vertical="top" wrapText="1"/>
    </xf>
    <xf numFmtId="0" fontId="10" fillId="3" borderId="12" xfId="0" applyFont="1" applyFill="1" applyBorder="1" applyAlignment="1">
      <alignment vertical="top" wrapText="1"/>
    </xf>
    <xf numFmtId="0" fontId="10" fillId="3" borderId="10" xfId="0" applyFont="1" applyFill="1" applyBorder="1" applyAlignment="1">
      <alignment vertical="top" wrapText="1"/>
    </xf>
    <xf numFmtId="0" fontId="3" fillId="3" borderId="10" xfId="0" applyFont="1" applyFill="1" applyBorder="1" applyAlignment="1">
      <alignment vertical="top" wrapText="1"/>
    </xf>
    <xf numFmtId="0" fontId="0" fillId="0" borderId="0" xfId="0" applyAlignment="1">
      <alignment vertical="top" wrapText="1"/>
    </xf>
    <xf numFmtId="0" fontId="0" fillId="3" borderId="4" xfId="0" applyFill="1" applyBorder="1" applyAlignment="1">
      <alignment vertical="top" wrapText="1"/>
    </xf>
    <xf numFmtId="0" fontId="0" fillId="0" borderId="5" xfId="0" applyBorder="1"/>
    <xf numFmtId="14" fontId="0" fillId="0" borderId="5" xfId="0" applyNumberFormat="1" applyBorder="1"/>
    <xf numFmtId="0" fontId="0" fillId="3" borderId="9" xfId="0" applyFill="1" applyBorder="1" applyAlignment="1">
      <alignment horizontal="left"/>
    </xf>
    <xf numFmtId="0" fontId="0" fillId="3" borderId="6" xfId="0" applyFill="1" applyBorder="1" applyAlignment="1">
      <alignment horizontal="left" vertical="top" wrapText="1"/>
    </xf>
    <xf numFmtId="0" fontId="0" fillId="0" borderId="7" xfId="0" applyBorder="1"/>
    <xf numFmtId="164" fontId="0" fillId="0" borderId="7" xfId="0" applyNumberFormat="1" applyBorder="1"/>
    <xf numFmtId="0" fontId="0" fillId="3" borderId="8" xfId="0" applyFill="1" applyBorder="1" applyAlignment="1">
      <alignment horizontal="left" vertical="top" wrapText="1"/>
    </xf>
    <xf numFmtId="0" fontId="0" fillId="0" borderId="0" xfId="0" applyAlignment="1">
      <alignment horizontal="right" vertical="top" wrapText="1"/>
    </xf>
    <xf numFmtId="0" fontId="0" fillId="0" borderId="1" xfId="0" applyBorder="1" applyAlignment="1">
      <alignment horizontal="left" vertical="top"/>
    </xf>
    <xf numFmtId="0" fontId="0" fillId="0" borderId="1" xfId="0" applyBorder="1" applyAlignment="1">
      <alignment horizontal="center" vertical="center" wrapText="1"/>
    </xf>
    <xf numFmtId="0" fontId="0" fillId="0" borderId="1" xfId="0" applyBorder="1" applyAlignment="1">
      <alignment horizontal="left" vertical="top" wrapText="1"/>
    </xf>
    <xf numFmtId="0" fontId="6"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vertical="top" wrapText="1"/>
    </xf>
    <xf numFmtId="49" fontId="0" fillId="2" borderId="1" xfId="0" applyNumberFormat="1" applyFill="1" applyBorder="1" applyAlignment="1">
      <alignment horizontal="left" vertical="top" wrapText="1"/>
    </xf>
    <xf numFmtId="0" fontId="0" fillId="0" borderId="11" xfId="0" applyBorder="1" applyAlignment="1">
      <alignment vertical="top" wrapText="1"/>
    </xf>
    <xf numFmtId="0" fontId="0" fillId="0" borderId="1" xfId="0" applyBorder="1" applyAlignment="1">
      <alignment vertical="top"/>
    </xf>
    <xf numFmtId="0" fontId="0" fillId="2" borderId="1" xfId="0" applyFill="1" applyBorder="1" applyAlignment="1">
      <alignment horizontal="center" vertical="center" wrapText="1"/>
    </xf>
    <xf numFmtId="0" fontId="0" fillId="0" borderId="14" xfId="0" applyBorder="1" applyAlignment="1">
      <alignment wrapText="1"/>
    </xf>
    <xf numFmtId="0" fontId="0" fillId="0" borderId="2" xfId="0" applyBorder="1" applyAlignment="1">
      <alignment wrapText="1"/>
    </xf>
    <xf numFmtId="0" fontId="0" fillId="0" borderId="1" xfId="0" applyBorder="1" applyAlignment="1">
      <alignment wrapText="1"/>
    </xf>
    <xf numFmtId="0" fontId="0" fillId="2" borderId="1" xfId="0" applyFill="1" applyBorder="1" applyAlignment="1">
      <alignment horizontal="center"/>
    </xf>
    <xf numFmtId="0" fontId="0" fillId="2" borderId="1" xfId="0" applyFill="1" applyBorder="1" applyAlignment="1">
      <alignment wrapText="1"/>
    </xf>
    <xf numFmtId="49" fontId="0" fillId="2" borderId="10" xfId="0" applyNumberFormat="1" applyFill="1" applyBorder="1" applyAlignment="1">
      <alignment horizontal="left" vertical="top" wrapText="1"/>
    </xf>
    <xf numFmtId="0" fontId="0" fillId="0" borderId="11" xfId="0" applyBorder="1" applyAlignment="1">
      <alignment horizontal="left" vertical="top"/>
    </xf>
    <xf numFmtId="0" fontId="0" fillId="2" borderId="1" xfId="0" applyFill="1" applyBorder="1" applyAlignment="1">
      <alignment horizontal="left" vertical="top" wrapText="1"/>
    </xf>
    <xf numFmtId="0" fontId="0" fillId="0" borderId="10" xfId="0"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vertical="top" wrapText="1"/>
    </xf>
    <xf numFmtId="0" fontId="0" fillId="0" borderId="1" xfId="0" applyBorder="1"/>
    <xf numFmtId="0" fontId="7" fillId="0" borderId="11" xfId="0" applyFont="1" applyBorder="1" applyAlignment="1">
      <alignment vertical="top" wrapText="1"/>
    </xf>
    <xf numFmtId="0" fontId="0" fillId="6" borderId="1" xfId="0" applyFill="1" applyBorder="1"/>
    <xf numFmtId="0" fontId="7" fillId="6" borderId="2" xfId="0" applyFont="1" applyFill="1" applyBorder="1" applyAlignment="1">
      <alignment vertical="top" wrapText="1"/>
    </xf>
    <xf numFmtId="0" fontId="0" fillId="6" borderId="2" xfId="0" applyFill="1" applyBorder="1"/>
    <xf numFmtId="0" fontId="0" fillId="6" borderId="2" xfId="0" applyFill="1" applyBorder="1" applyAlignment="1">
      <alignment vertical="top" wrapText="1"/>
    </xf>
    <xf numFmtId="0" fontId="0" fillId="6" borderId="3" xfId="0" applyFill="1" applyBorder="1"/>
    <xf numFmtId="0" fontId="0" fillId="6" borderId="1" xfId="0" applyFill="1" applyBorder="1" applyAlignment="1">
      <alignment horizontal="left" vertical="top"/>
    </xf>
    <xf numFmtId="0" fontId="7" fillId="6" borderId="2" xfId="0" applyFont="1" applyFill="1" applyBorder="1" applyAlignment="1">
      <alignment vertical="top"/>
    </xf>
    <xf numFmtId="0" fontId="0" fillId="6" borderId="2" xfId="0" applyFill="1" applyBorder="1" applyAlignment="1">
      <alignment vertical="top"/>
    </xf>
    <xf numFmtId="0" fontId="0" fillId="6" borderId="3" xfId="0" applyFill="1" applyBorder="1" applyAlignment="1">
      <alignment vertical="top"/>
    </xf>
    <xf numFmtId="0" fontId="5" fillId="6" borderId="2" xfId="0" applyFont="1" applyFill="1" applyBorder="1" applyAlignment="1">
      <alignment vertical="top"/>
    </xf>
    <xf numFmtId="0" fontId="0" fillId="6" borderId="1" xfId="0" applyFill="1" applyBorder="1" applyAlignment="1">
      <alignment vertical="top"/>
    </xf>
    <xf numFmtId="0" fontId="3" fillId="0" borderId="0" xfId="0" applyFont="1" applyAlignment="1">
      <alignment vertical="top"/>
    </xf>
    <xf numFmtId="0" fontId="0" fillId="0" borderId="0" xfId="0" applyAlignment="1">
      <alignment vertical="top"/>
    </xf>
    <xf numFmtId="0" fontId="4" fillId="0" borderId="0" xfId="3" applyFill="1" applyAlignment="1">
      <alignment vertical="top"/>
    </xf>
    <xf numFmtId="11" fontId="0" fillId="0" borderId="0" xfId="0" applyNumberFormat="1" applyAlignment="1">
      <alignment vertical="top"/>
    </xf>
    <xf numFmtId="0" fontId="0" fillId="0" borderId="0" xfId="0" applyAlignment="1">
      <alignment wrapText="1"/>
    </xf>
    <xf numFmtId="0" fontId="5" fillId="0" borderId="0" xfId="0" applyFont="1" applyAlignment="1">
      <alignment wrapText="1"/>
    </xf>
    <xf numFmtId="0" fontId="6" fillId="0" borderId="0" xfId="0" applyFont="1" applyAlignment="1">
      <alignment wrapText="1"/>
    </xf>
    <xf numFmtId="0" fontId="11" fillId="0" borderId="0" xfId="0" applyFont="1" applyAlignment="1">
      <alignment wrapText="1"/>
    </xf>
    <xf numFmtId="0" fontId="7" fillId="5" borderId="1" xfId="0" applyFont="1" applyFill="1" applyBorder="1" applyAlignment="1">
      <alignment horizontal="left" vertical="top" wrapText="1"/>
    </xf>
    <xf numFmtId="0" fontId="7" fillId="2" borderId="2" xfId="0" applyFont="1" applyFill="1" applyBorder="1" applyAlignment="1">
      <alignment horizontal="left" vertical="top" wrapText="1"/>
    </xf>
    <xf numFmtId="0" fontId="5" fillId="2" borderId="2" xfId="0" applyFont="1" applyFill="1" applyBorder="1" applyAlignment="1">
      <alignment horizontal="left" vertical="top" wrapText="1"/>
    </xf>
    <xf numFmtId="0" fontId="6" fillId="2" borderId="3" xfId="0" applyFont="1" applyFill="1" applyBorder="1" applyAlignment="1">
      <alignment horizontal="left" vertical="top" wrapText="1"/>
    </xf>
  </cellXfs>
  <cellStyles count="4">
    <cellStyle name="Hyperlink" xfId="3" builtinId="8"/>
    <cellStyle name="Normal" xfId="0" builtinId="0"/>
    <cellStyle name="Normal 2" xfId="1" xr:uid="{00000000-0005-0000-0000-000002000000}"/>
    <cellStyle name="Normal 2 2" xfId="2" xr:uid="{00000000-0005-0000-0000-000003000000}"/>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9" defaultPivotStyle="PivotStyleLight16"/>
  <colors>
    <mruColors>
      <color rgb="FF7EB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A58B-74E7-4FFB-9E56-075130BC66F5}">
  <sheetPr>
    <tabColor rgb="FF00B0F0"/>
  </sheetPr>
  <dimension ref="A1:Z136"/>
  <sheetViews>
    <sheetView tabSelected="1" zoomScale="130" zoomScaleNormal="130" workbookViewId="0">
      <pane ySplit="11" topLeftCell="A14" activePane="bottomLeft" state="frozen"/>
      <selection activeCell="E34" sqref="E34"/>
      <selection pane="bottomLeft"/>
    </sheetView>
  </sheetViews>
  <sheetFormatPr defaultColWidth="8.85546875" defaultRowHeight="12.75" x14ac:dyDescent="0.2"/>
  <cols>
    <col min="2" max="2" width="61.28515625" style="44" customWidth="1"/>
    <col min="3" max="3" width="24.85546875" customWidth="1"/>
    <col min="4" max="4" width="39.85546875" customWidth="1"/>
    <col min="5" max="5" width="55.28515625" customWidth="1"/>
    <col min="6" max="7" width="38.7109375" customWidth="1"/>
    <col min="8" max="8" width="51.5703125" customWidth="1"/>
  </cols>
  <sheetData>
    <row r="1" spans="1:7" ht="13.5" thickBot="1" x14ac:dyDescent="0.25"/>
    <row r="2" spans="1:7" x14ac:dyDescent="0.2">
      <c r="B2" s="45" t="s">
        <v>57</v>
      </c>
      <c r="C2" s="46"/>
      <c r="D2" s="8" t="s">
        <v>1</v>
      </c>
      <c r="E2" s="47"/>
      <c r="F2" s="48"/>
    </row>
    <row r="3" spans="1:7" x14ac:dyDescent="0.2">
      <c r="B3" s="49" t="s">
        <v>0</v>
      </c>
      <c r="C3" s="50"/>
      <c r="D3" s="8" t="s">
        <v>63</v>
      </c>
      <c r="E3" s="51"/>
      <c r="F3" s="8"/>
    </row>
    <row r="4" spans="1:7" x14ac:dyDescent="0.2">
      <c r="B4" s="49" t="s">
        <v>2</v>
      </c>
      <c r="C4" s="50"/>
      <c r="D4" s="9" t="s">
        <v>3</v>
      </c>
      <c r="E4" s="51"/>
      <c r="F4" s="8"/>
    </row>
    <row r="5" spans="1:7" x14ac:dyDescent="0.2">
      <c r="B5" s="52" t="s">
        <v>62</v>
      </c>
      <c r="C5" s="50"/>
      <c r="D5" s="9"/>
      <c r="E5" s="51"/>
      <c r="F5" s="9"/>
    </row>
    <row r="7" spans="1:7" x14ac:dyDescent="0.2">
      <c r="D7" s="1"/>
    </row>
    <row r="10" spans="1:7" x14ac:dyDescent="0.2">
      <c r="B10" s="53" t="s">
        <v>4</v>
      </c>
      <c r="C10" s="39">
        <f>COUNTIF($C$12:$C$1000,"Open")</f>
        <v>115</v>
      </c>
    </row>
    <row r="11" spans="1:7" s="88" customFormat="1" x14ac:dyDescent="0.2">
      <c r="A11" s="40" t="s">
        <v>6</v>
      </c>
      <c r="B11" s="41" t="s">
        <v>7</v>
      </c>
      <c r="C11" s="42" t="s">
        <v>5</v>
      </c>
      <c r="D11" s="43" t="s">
        <v>64</v>
      </c>
      <c r="E11" s="43" t="s">
        <v>8</v>
      </c>
      <c r="F11" s="43" t="s">
        <v>65</v>
      </c>
      <c r="G11" s="43" t="s">
        <v>9</v>
      </c>
    </row>
    <row r="12" spans="1:7" x14ac:dyDescent="0.2">
      <c r="A12" s="77"/>
      <c r="B12" s="78" t="s">
        <v>10</v>
      </c>
      <c r="C12" s="79"/>
      <c r="D12" s="80"/>
      <c r="E12" s="79"/>
      <c r="F12" s="79"/>
      <c r="G12" s="81"/>
    </row>
    <row r="13" spans="1:7" s="89" customFormat="1" ht="25.5" x14ac:dyDescent="0.2">
      <c r="A13" s="54"/>
      <c r="B13" s="27" t="s">
        <v>88</v>
      </c>
      <c r="C13" s="55" t="s">
        <v>11</v>
      </c>
      <c r="D13" s="56"/>
      <c r="E13" s="11"/>
      <c r="F13" s="57"/>
      <c r="G13" s="58"/>
    </row>
    <row r="14" spans="1:7" s="89" customFormat="1" ht="38.25" x14ac:dyDescent="0.2">
      <c r="A14" s="54"/>
      <c r="B14" s="28" t="s">
        <v>84</v>
      </c>
      <c r="C14" s="55" t="s">
        <v>11</v>
      </c>
      <c r="D14" s="56"/>
      <c r="E14" s="11"/>
      <c r="F14" s="57"/>
      <c r="G14" s="58"/>
    </row>
    <row r="15" spans="1:7" s="89" customFormat="1" x14ac:dyDescent="0.2">
      <c r="A15" s="54"/>
      <c r="B15" s="28" t="s">
        <v>12</v>
      </c>
      <c r="C15" s="55" t="s">
        <v>11</v>
      </c>
      <c r="D15" s="56"/>
      <c r="E15" s="11"/>
      <c r="F15" s="57"/>
      <c r="G15" s="58"/>
    </row>
    <row r="16" spans="1:7" s="89" customFormat="1" x14ac:dyDescent="0.2">
      <c r="A16" s="54"/>
      <c r="B16" s="28" t="s">
        <v>61</v>
      </c>
      <c r="C16" s="55" t="s">
        <v>11</v>
      </c>
      <c r="D16" s="56"/>
      <c r="E16" s="11"/>
      <c r="F16" s="57"/>
      <c r="G16" s="58"/>
    </row>
    <row r="17" spans="1:7" s="89" customFormat="1" ht="38.25" x14ac:dyDescent="0.2">
      <c r="A17" s="54"/>
      <c r="B17" s="28" t="s">
        <v>13</v>
      </c>
      <c r="C17" s="55" t="s">
        <v>11</v>
      </c>
      <c r="D17" s="56"/>
      <c r="E17" s="11"/>
      <c r="F17" s="57"/>
      <c r="G17" s="58"/>
    </row>
    <row r="18" spans="1:7" s="89" customFormat="1" ht="25.5" x14ac:dyDescent="0.2">
      <c r="A18" s="54"/>
      <c r="B18" s="28" t="s">
        <v>14</v>
      </c>
      <c r="C18" s="55" t="s">
        <v>11</v>
      </c>
      <c r="D18" s="56"/>
      <c r="E18" s="11"/>
      <c r="F18" s="57"/>
      <c r="G18" s="58"/>
    </row>
    <row r="19" spans="1:7" s="89" customFormat="1" ht="25.5" x14ac:dyDescent="0.2">
      <c r="A19" s="54"/>
      <c r="B19" s="28" t="s">
        <v>15</v>
      </c>
      <c r="C19" s="55" t="s">
        <v>11</v>
      </c>
      <c r="D19" s="56"/>
      <c r="E19" s="11"/>
      <c r="F19" s="57"/>
      <c r="G19" s="58"/>
    </row>
    <row r="20" spans="1:7" s="89" customFormat="1" ht="25.5" x14ac:dyDescent="0.2">
      <c r="A20" s="54"/>
      <c r="B20" s="28" t="s">
        <v>16</v>
      </c>
      <c r="C20" s="55" t="s">
        <v>11</v>
      </c>
      <c r="D20" s="56"/>
      <c r="E20" s="11"/>
      <c r="F20" s="57"/>
      <c r="G20" s="58"/>
    </row>
    <row r="21" spans="1:7" s="89" customFormat="1" ht="25.5" x14ac:dyDescent="0.2">
      <c r="A21" s="54"/>
      <c r="B21" s="27" t="s">
        <v>17</v>
      </c>
      <c r="C21" s="55" t="s">
        <v>11</v>
      </c>
      <c r="D21" s="56"/>
      <c r="E21" s="11"/>
      <c r="F21" s="57"/>
      <c r="G21" s="58"/>
    </row>
    <row r="22" spans="1:7" x14ac:dyDescent="0.2">
      <c r="A22" s="82"/>
      <c r="B22" s="83" t="s">
        <v>21</v>
      </c>
      <c r="C22" s="79"/>
      <c r="D22" s="84"/>
      <c r="E22" s="84"/>
      <c r="F22" s="84"/>
      <c r="G22" s="85"/>
    </row>
    <row r="23" spans="1:7" s="89" customFormat="1" ht="38.25" x14ac:dyDescent="0.2">
      <c r="A23" s="54"/>
      <c r="B23" s="29" t="s">
        <v>18</v>
      </c>
      <c r="C23" s="55" t="s">
        <v>11</v>
      </c>
      <c r="D23" s="56"/>
      <c r="E23" s="11"/>
      <c r="F23" s="57"/>
      <c r="G23" s="58"/>
    </row>
    <row r="24" spans="1:7" s="89" customFormat="1" x14ac:dyDescent="0.2">
      <c r="A24" s="54"/>
      <c r="B24" s="29" t="s">
        <v>19</v>
      </c>
      <c r="C24" s="55" t="s">
        <v>11</v>
      </c>
      <c r="D24" s="56"/>
      <c r="E24" s="11"/>
      <c r="F24" s="57"/>
      <c r="G24" s="58"/>
    </row>
    <row r="25" spans="1:7" s="89" customFormat="1" ht="38.25" x14ac:dyDescent="0.2">
      <c r="A25" s="54"/>
      <c r="B25" s="28" t="s">
        <v>103</v>
      </c>
      <c r="C25" s="55" t="s">
        <v>11</v>
      </c>
      <c r="D25" s="56"/>
      <c r="E25" s="11"/>
      <c r="F25" s="57"/>
      <c r="G25" s="58"/>
    </row>
    <row r="26" spans="1:7" s="89" customFormat="1" ht="25.5" x14ac:dyDescent="0.2">
      <c r="A26" s="54"/>
      <c r="B26" s="29" t="s">
        <v>20</v>
      </c>
      <c r="C26" s="55" t="s">
        <v>11</v>
      </c>
      <c r="D26" s="56"/>
      <c r="E26" s="11"/>
      <c r="F26" s="57"/>
      <c r="G26" s="58"/>
    </row>
    <row r="27" spans="1:7" s="89" customFormat="1" x14ac:dyDescent="0.2">
      <c r="A27" s="54"/>
      <c r="B27" s="29" t="s">
        <v>58</v>
      </c>
      <c r="C27" s="55" t="s">
        <v>11</v>
      </c>
      <c r="D27" s="59"/>
      <c r="E27" s="14"/>
      <c r="F27" s="14"/>
      <c r="G27" s="2"/>
    </row>
    <row r="28" spans="1:7" s="89" customFormat="1" ht="38.25" x14ac:dyDescent="0.2">
      <c r="A28" s="54"/>
      <c r="B28" s="28" t="s">
        <v>56</v>
      </c>
      <c r="C28" s="55" t="s">
        <v>11</v>
      </c>
      <c r="D28" s="59"/>
      <c r="E28" s="14"/>
      <c r="F28" s="14"/>
      <c r="G28" s="2"/>
    </row>
    <row r="29" spans="1:7" s="89" customFormat="1" ht="25.5" x14ac:dyDescent="0.2">
      <c r="A29" s="54"/>
      <c r="B29" s="26" t="s">
        <v>22</v>
      </c>
      <c r="C29" s="55" t="s">
        <v>11</v>
      </c>
      <c r="D29" s="59"/>
      <c r="E29" s="14"/>
      <c r="F29" s="14"/>
      <c r="G29" s="2"/>
    </row>
    <row r="30" spans="1:7" s="89" customFormat="1" x14ac:dyDescent="0.2">
      <c r="A30" s="54"/>
      <c r="B30" s="26" t="s">
        <v>23</v>
      </c>
      <c r="C30" s="55" t="s">
        <v>11</v>
      </c>
      <c r="D30" s="59"/>
      <c r="E30" s="14"/>
      <c r="F30" s="3"/>
      <c r="G30" s="2"/>
    </row>
    <row r="31" spans="1:7" s="89" customFormat="1" x14ac:dyDescent="0.2">
      <c r="A31" s="54"/>
      <c r="B31" s="26" t="s">
        <v>24</v>
      </c>
      <c r="C31" s="55" t="s">
        <v>11</v>
      </c>
      <c r="D31" s="59"/>
      <c r="E31" s="14"/>
      <c r="F31" s="3"/>
      <c r="G31" s="2"/>
    </row>
    <row r="32" spans="1:7" s="89" customFormat="1" ht="38.25" x14ac:dyDescent="0.2">
      <c r="A32" s="54"/>
      <c r="B32" s="26" t="s">
        <v>104</v>
      </c>
      <c r="C32" s="55" t="s">
        <v>11</v>
      </c>
      <c r="D32" s="59"/>
      <c r="E32" s="14"/>
      <c r="F32" s="3"/>
      <c r="G32" s="2"/>
    </row>
    <row r="33" spans="1:8" s="89" customFormat="1" ht="38.25" x14ac:dyDescent="0.2">
      <c r="A33" s="54"/>
      <c r="B33" s="37" t="s">
        <v>105</v>
      </c>
      <c r="C33" s="55" t="s">
        <v>11</v>
      </c>
      <c r="D33" s="59"/>
      <c r="E33" s="14"/>
      <c r="F33" s="14"/>
      <c r="G33" s="2"/>
    </row>
    <row r="34" spans="1:8" s="89" customFormat="1" ht="51" x14ac:dyDescent="0.2">
      <c r="A34" s="54"/>
      <c r="B34" s="26" t="s">
        <v>106</v>
      </c>
      <c r="C34" s="55" t="s">
        <v>11</v>
      </c>
      <c r="D34" s="59"/>
      <c r="E34" s="14"/>
      <c r="F34" s="3"/>
      <c r="G34" s="2"/>
    </row>
    <row r="35" spans="1:8" s="89" customFormat="1" ht="38.25" x14ac:dyDescent="0.2">
      <c r="A35" s="54"/>
      <c r="B35" s="29" t="s">
        <v>139</v>
      </c>
      <c r="C35" s="55" t="s">
        <v>11</v>
      </c>
      <c r="D35" s="28"/>
      <c r="E35" s="97"/>
      <c r="F35" s="98"/>
      <c r="G35" s="99"/>
    </row>
    <row r="36" spans="1:8" s="89" customFormat="1" ht="38.25" x14ac:dyDescent="0.2">
      <c r="A36" s="54"/>
      <c r="B36" s="29" t="s">
        <v>140</v>
      </c>
      <c r="C36" s="55" t="s">
        <v>11</v>
      </c>
      <c r="D36" s="28"/>
      <c r="E36" s="97"/>
      <c r="F36" s="98"/>
      <c r="G36" s="99"/>
    </row>
    <row r="37" spans="1:8" x14ac:dyDescent="0.2">
      <c r="A37" s="82"/>
      <c r="B37" s="83" t="s">
        <v>25</v>
      </c>
      <c r="C37" s="79"/>
      <c r="D37" s="84"/>
      <c r="E37" s="86"/>
      <c r="F37" s="84"/>
      <c r="G37" s="85"/>
    </row>
    <row r="38" spans="1:8" ht="89.25" x14ac:dyDescent="0.2">
      <c r="A38" s="54"/>
      <c r="B38" s="30" t="s">
        <v>96</v>
      </c>
      <c r="C38" s="55" t="s">
        <v>11</v>
      </c>
      <c r="D38" s="61"/>
      <c r="E38" s="17"/>
      <c r="F38" s="6"/>
      <c r="G38" s="7"/>
      <c r="H38" s="44"/>
    </row>
    <row r="39" spans="1:8" ht="38.25" x14ac:dyDescent="0.2">
      <c r="A39" s="54"/>
      <c r="B39" s="30" t="s">
        <v>59</v>
      </c>
      <c r="C39" s="55" t="s">
        <v>11</v>
      </c>
      <c r="D39" s="61"/>
      <c r="E39" s="17"/>
      <c r="F39" s="6"/>
      <c r="G39" s="7"/>
      <c r="H39" s="44"/>
    </row>
    <row r="40" spans="1:8" ht="25.5" x14ac:dyDescent="0.2">
      <c r="A40" s="54"/>
      <c r="B40" s="30" t="s">
        <v>26</v>
      </c>
      <c r="C40" s="55" t="s">
        <v>11</v>
      </c>
      <c r="D40" s="61"/>
      <c r="E40" s="17"/>
      <c r="F40" s="6"/>
      <c r="G40" s="7"/>
    </row>
    <row r="41" spans="1:8" ht="38.25" x14ac:dyDescent="0.2">
      <c r="A41" s="54"/>
      <c r="B41" s="30" t="s">
        <v>107</v>
      </c>
      <c r="C41" s="55" t="s">
        <v>11</v>
      </c>
      <c r="D41" s="61"/>
      <c r="E41" s="17"/>
      <c r="F41" s="6"/>
      <c r="G41" s="7"/>
    </row>
    <row r="42" spans="1:8" s="89" customFormat="1" ht="127.5" x14ac:dyDescent="0.2">
      <c r="A42" s="54"/>
      <c r="B42" s="37" t="s">
        <v>100</v>
      </c>
      <c r="C42" s="55" t="s">
        <v>11</v>
      </c>
      <c r="D42" s="59"/>
      <c r="E42" s="3"/>
      <c r="F42" s="14"/>
      <c r="G42" s="2"/>
    </row>
    <row r="43" spans="1:8" s="89" customFormat="1" ht="89.25" x14ac:dyDescent="0.2">
      <c r="A43" s="54"/>
      <c r="B43" s="37" t="s">
        <v>121</v>
      </c>
      <c r="C43" s="55" t="s">
        <v>11</v>
      </c>
      <c r="D43" s="59"/>
      <c r="E43" s="14"/>
      <c r="F43" s="14"/>
      <c r="G43" s="2"/>
    </row>
    <row r="44" spans="1:8" s="89" customFormat="1" ht="38.25" x14ac:dyDescent="0.2">
      <c r="A44" s="54"/>
      <c r="B44" s="26" t="s">
        <v>73</v>
      </c>
      <c r="C44" s="55" t="s">
        <v>11</v>
      </c>
      <c r="D44" s="59"/>
      <c r="E44" s="14"/>
      <c r="F44" s="14"/>
      <c r="G44" s="2"/>
    </row>
    <row r="45" spans="1:8" s="89" customFormat="1" ht="38.25" x14ac:dyDescent="0.2">
      <c r="A45" s="54"/>
      <c r="B45" s="26" t="s">
        <v>108</v>
      </c>
      <c r="C45" s="55" t="s">
        <v>11</v>
      </c>
      <c r="D45" s="59"/>
      <c r="E45" s="14"/>
      <c r="F45" s="14"/>
      <c r="G45" s="2"/>
    </row>
    <row r="46" spans="1:8" s="89" customFormat="1" ht="38.25" x14ac:dyDescent="0.2">
      <c r="A46" s="62"/>
      <c r="B46" s="26" t="s">
        <v>60</v>
      </c>
      <c r="C46" s="55" t="s">
        <v>11</v>
      </c>
      <c r="D46" s="59"/>
      <c r="E46" s="14"/>
      <c r="F46" s="14"/>
      <c r="G46" s="2"/>
    </row>
    <row r="47" spans="1:8" s="89" customFormat="1" ht="63.75" x14ac:dyDescent="0.2">
      <c r="A47" s="62"/>
      <c r="B47" s="26" t="s">
        <v>109</v>
      </c>
      <c r="C47" s="55" t="s">
        <v>11</v>
      </c>
      <c r="D47" s="59"/>
      <c r="E47" s="14"/>
      <c r="F47" s="14"/>
      <c r="G47" s="2"/>
    </row>
    <row r="48" spans="1:8" s="89" customFormat="1" ht="89.25" x14ac:dyDescent="0.2">
      <c r="A48" s="62"/>
      <c r="B48" s="26" t="s">
        <v>110</v>
      </c>
      <c r="C48" s="55" t="s">
        <v>11</v>
      </c>
      <c r="D48" s="59"/>
      <c r="E48" s="3"/>
      <c r="F48" s="14"/>
      <c r="G48" s="2"/>
    </row>
    <row r="49" spans="1:25" s="89" customFormat="1" ht="51" x14ac:dyDescent="0.2">
      <c r="A49" s="62"/>
      <c r="B49" s="26" t="s">
        <v>27</v>
      </c>
      <c r="C49" s="63" t="s">
        <v>11</v>
      </c>
      <c r="D49" s="59"/>
      <c r="E49" s="3"/>
      <c r="F49" s="14"/>
      <c r="G49" s="2"/>
    </row>
    <row r="50" spans="1:25" s="89" customFormat="1" ht="63.75" x14ac:dyDescent="0.2">
      <c r="A50" s="62"/>
      <c r="B50" s="26" t="s">
        <v>28</v>
      </c>
      <c r="C50" s="55" t="s">
        <v>11</v>
      </c>
      <c r="D50" s="59"/>
      <c r="E50" s="14"/>
      <c r="F50" s="3"/>
      <c r="G50" s="2"/>
    </row>
    <row r="51" spans="1:25" s="89" customFormat="1" ht="63.75" x14ac:dyDescent="0.2">
      <c r="A51" s="62"/>
      <c r="B51" s="26" t="s">
        <v>111</v>
      </c>
      <c r="C51" s="55" t="s">
        <v>11</v>
      </c>
      <c r="D51" s="59"/>
      <c r="E51" s="22"/>
      <c r="F51" s="14"/>
      <c r="G51" s="2"/>
    </row>
    <row r="52" spans="1:25" s="89" customFormat="1" ht="51" x14ac:dyDescent="0.2">
      <c r="A52" s="62"/>
      <c r="B52" s="26" t="s">
        <v>29</v>
      </c>
      <c r="C52" s="55" t="s">
        <v>11</v>
      </c>
      <c r="D52" s="59"/>
      <c r="E52" s="14"/>
      <c r="F52" s="3"/>
      <c r="G52" s="2"/>
    </row>
    <row r="53" spans="1:25" s="89" customFormat="1" ht="51" x14ac:dyDescent="0.2">
      <c r="A53" s="62"/>
      <c r="B53" s="26" t="s">
        <v>112</v>
      </c>
      <c r="C53" s="55" t="s">
        <v>11</v>
      </c>
      <c r="D53" s="59"/>
      <c r="E53" s="14"/>
      <c r="F53" s="3"/>
      <c r="G53" s="2"/>
    </row>
    <row r="54" spans="1:25" s="89" customFormat="1" ht="76.5" x14ac:dyDescent="0.2">
      <c r="A54" s="62"/>
      <c r="B54" s="31" t="s">
        <v>30</v>
      </c>
      <c r="C54" s="63" t="s">
        <v>11</v>
      </c>
      <c r="D54" s="59"/>
      <c r="E54" s="14"/>
      <c r="F54" s="3"/>
      <c r="G54" s="2"/>
    </row>
    <row r="55" spans="1:25" s="89" customFormat="1" ht="25.5" x14ac:dyDescent="0.2">
      <c r="A55" s="62"/>
      <c r="B55" s="32" t="s">
        <v>31</v>
      </c>
      <c r="C55" s="55" t="s">
        <v>11</v>
      </c>
      <c r="D55" s="60"/>
      <c r="E55" s="14"/>
      <c r="F55" s="3"/>
      <c r="G55" s="2"/>
      <c r="H55"/>
    </row>
    <row r="56" spans="1:25" s="89" customFormat="1" ht="25.5" x14ac:dyDescent="0.2">
      <c r="A56" s="62"/>
      <c r="B56" s="33" t="s">
        <v>36</v>
      </c>
      <c r="C56" s="63" t="s">
        <v>11</v>
      </c>
      <c r="D56" s="69"/>
      <c r="E56" s="12"/>
      <c r="F56" s="4"/>
      <c r="G56" s="5"/>
    </row>
    <row r="57" spans="1:25" x14ac:dyDescent="0.2">
      <c r="A57" s="77"/>
      <c r="B57" s="83" t="s">
        <v>81</v>
      </c>
      <c r="C57" s="79"/>
      <c r="D57" s="84"/>
      <c r="E57" s="86"/>
      <c r="F57" s="84"/>
      <c r="G57" s="85"/>
    </row>
    <row r="58" spans="1:25" s="89" customFormat="1" ht="51" x14ac:dyDescent="0.2">
      <c r="A58" s="62"/>
      <c r="B58" s="26" t="s">
        <v>113</v>
      </c>
      <c r="C58" s="63" t="s">
        <v>11</v>
      </c>
      <c r="D58" s="59"/>
      <c r="E58" s="14"/>
      <c r="F58" s="14"/>
      <c r="G58" s="2"/>
      <c r="H58" s="90"/>
      <c r="Y58" s="91"/>
    </row>
    <row r="59" spans="1:25" s="89" customFormat="1" ht="63.75" x14ac:dyDescent="0.2">
      <c r="A59" s="62"/>
      <c r="B59" s="26" t="s">
        <v>131</v>
      </c>
      <c r="C59" s="63" t="s">
        <v>11</v>
      </c>
      <c r="D59" s="59"/>
      <c r="E59" s="14"/>
      <c r="F59" s="14"/>
      <c r="G59" s="2"/>
      <c r="H59" s="90"/>
      <c r="Y59" s="91"/>
    </row>
    <row r="60" spans="1:25" s="89" customFormat="1" ht="38.25" x14ac:dyDescent="0.2">
      <c r="A60" s="62"/>
      <c r="B60" s="26" t="s">
        <v>132</v>
      </c>
      <c r="C60" s="63" t="s">
        <v>11</v>
      </c>
      <c r="D60" s="59"/>
      <c r="E60" s="14"/>
      <c r="F60" s="14"/>
      <c r="G60" s="2"/>
      <c r="H60" s="90"/>
      <c r="Y60" s="91"/>
    </row>
    <row r="61" spans="1:25" s="89" customFormat="1" ht="38.25" x14ac:dyDescent="0.2">
      <c r="A61" s="62"/>
      <c r="B61" s="26" t="s">
        <v>115</v>
      </c>
      <c r="C61" s="63" t="s">
        <v>11</v>
      </c>
      <c r="D61" s="59"/>
      <c r="E61" s="14"/>
      <c r="F61" s="14"/>
      <c r="G61" s="2"/>
      <c r="H61" s="90"/>
      <c r="Y61" s="91"/>
    </row>
    <row r="62" spans="1:25" s="89" customFormat="1" ht="51" x14ac:dyDescent="0.2">
      <c r="A62" s="62"/>
      <c r="B62" s="26" t="s">
        <v>114</v>
      </c>
      <c r="C62" s="63" t="s">
        <v>11</v>
      </c>
      <c r="D62" s="59"/>
      <c r="E62" s="14"/>
      <c r="F62" s="14"/>
      <c r="G62" s="2"/>
      <c r="H62" s="90"/>
      <c r="Y62" s="91"/>
    </row>
    <row r="63" spans="1:25" s="89" customFormat="1" ht="38.25" x14ac:dyDescent="0.2">
      <c r="A63" s="62"/>
      <c r="B63" s="26" t="s">
        <v>133</v>
      </c>
      <c r="C63" s="63" t="s">
        <v>11</v>
      </c>
      <c r="D63" s="59"/>
      <c r="E63" s="14"/>
      <c r="F63" s="14"/>
      <c r="G63" s="2"/>
      <c r="H63" s="90"/>
      <c r="Y63" s="91"/>
    </row>
    <row r="64" spans="1:25" s="89" customFormat="1" ht="25.5" x14ac:dyDescent="0.2">
      <c r="A64" s="62"/>
      <c r="B64" s="37" t="s">
        <v>66</v>
      </c>
      <c r="C64" s="63" t="s">
        <v>11</v>
      </c>
      <c r="D64" s="59"/>
      <c r="E64" s="14"/>
      <c r="F64" s="14"/>
      <c r="G64" s="2"/>
      <c r="H64" s="90"/>
      <c r="Y64" s="91"/>
    </row>
    <row r="65" spans="1:26" ht="25.5" x14ac:dyDescent="0.2">
      <c r="A65" s="62"/>
      <c r="B65" s="64" t="s">
        <v>116</v>
      </c>
      <c r="C65" s="55" t="s">
        <v>11</v>
      </c>
      <c r="D65" s="59"/>
      <c r="E65" s="14"/>
      <c r="F65" s="14"/>
      <c r="G65" s="2"/>
      <c r="H65" s="92"/>
      <c r="I65" s="92"/>
      <c r="J65" s="92"/>
      <c r="K65" s="92"/>
      <c r="L65" s="93"/>
      <c r="M65" s="93"/>
      <c r="N65" s="93"/>
      <c r="O65" s="93"/>
      <c r="P65" s="93"/>
      <c r="Q65" s="94"/>
      <c r="R65" s="94"/>
      <c r="S65" s="94"/>
      <c r="T65" s="94"/>
      <c r="U65" s="94"/>
      <c r="V65" s="95"/>
      <c r="W65" s="95"/>
      <c r="X65" s="95"/>
      <c r="Y65" s="95"/>
      <c r="Z65" s="95"/>
    </row>
    <row r="66" spans="1:26" ht="38.25" x14ac:dyDescent="0.2">
      <c r="A66" s="62"/>
      <c r="B66" s="65" t="s">
        <v>83</v>
      </c>
      <c r="C66" s="55" t="s">
        <v>11</v>
      </c>
      <c r="D66" s="66"/>
      <c r="E66" s="66"/>
      <c r="F66" s="67"/>
      <c r="G66" s="68"/>
      <c r="H66" s="92"/>
      <c r="I66" s="92"/>
      <c r="J66" s="92"/>
      <c r="K66" s="92"/>
      <c r="L66" s="93"/>
      <c r="M66" s="93"/>
      <c r="N66" s="93"/>
      <c r="O66" s="93"/>
      <c r="P66" s="93"/>
      <c r="Q66" s="94"/>
      <c r="R66" s="94"/>
      <c r="S66" s="94"/>
      <c r="T66" s="94"/>
      <c r="U66" s="94"/>
      <c r="V66" s="95"/>
      <c r="W66" s="95"/>
      <c r="X66" s="95"/>
      <c r="Y66" s="95"/>
      <c r="Z66" s="95"/>
    </row>
    <row r="67" spans="1:26" ht="102" x14ac:dyDescent="0.2">
      <c r="A67" s="62"/>
      <c r="B67" s="65" t="s">
        <v>99</v>
      </c>
      <c r="C67" s="55" t="s">
        <v>11</v>
      </c>
      <c r="D67" s="66"/>
      <c r="E67" s="66"/>
      <c r="F67" s="67"/>
      <c r="G67" s="68"/>
      <c r="H67" s="92"/>
      <c r="I67" s="92"/>
      <c r="J67" s="92"/>
      <c r="K67" s="92"/>
      <c r="L67" s="93"/>
      <c r="M67" s="93"/>
      <c r="N67" s="93"/>
      <c r="O67" s="93"/>
      <c r="P67" s="93"/>
      <c r="Q67" s="94"/>
      <c r="R67" s="94"/>
      <c r="S67" s="94"/>
      <c r="T67" s="94"/>
      <c r="U67" s="94"/>
      <c r="V67" s="95"/>
      <c r="W67" s="95"/>
      <c r="X67" s="95"/>
      <c r="Y67" s="95"/>
      <c r="Z67" s="95"/>
    </row>
    <row r="68" spans="1:26" ht="51" x14ac:dyDescent="0.2">
      <c r="A68" s="62"/>
      <c r="B68" s="65" t="s">
        <v>101</v>
      </c>
      <c r="C68" s="55" t="s">
        <v>11</v>
      </c>
      <c r="D68" s="66"/>
      <c r="E68" s="66"/>
      <c r="F68" s="67"/>
      <c r="G68" s="68"/>
      <c r="H68" s="92"/>
      <c r="I68" s="92"/>
      <c r="J68" s="92"/>
      <c r="K68" s="92"/>
      <c r="L68" s="93"/>
      <c r="M68" s="93"/>
      <c r="N68" s="93"/>
      <c r="O68" s="93"/>
      <c r="P68" s="93"/>
      <c r="Q68" s="94"/>
      <c r="R68" s="94"/>
      <c r="S68" s="94"/>
      <c r="T68" s="94"/>
      <c r="U68" s="94"/>
      <c r="V68" s="95"/>
      <c r="W68" s="95"/>
      <c r="X68" s="95"/>
      <c r="Y68" s="95"/>
      <c r="Z68" s="95"/>
    </row>
    <row r="69" spans="1:26" x14ac:dyDescent="0.2">
      <c r="A69" s="77"/>
      <c r="B69" s="83" t="s">
        <v>80</v>
      </c>
      <c r="C69" s="79"/>
      <c r="D69" s="84"/>
      <c r="E69" s="86"/>
      <c r="F69" s="84"/>
      <c r="G69" s="85"/>
    </row>
    <row r="70" spans="1:26" s="89" customFormat="1" ht="63.75" x14ac:dyDescent="0.2">
      <c r="A70" s="62"/>
      <c r="B70" s="26" t="s">
        <v>136</v>
      </c>
      <c r="C70" s="63" t="s">
        <v>11</v>
      </c>
      <c r="D70" s="59"/>
      <c r="E70" s="14"/>
      <c r="F70" s="3"/>
      <c r="G70" s="2"/>
    </row>
    <row r="71" spans="1:26" s="89" customFormat="1" ht="38.25" x14ac:dyDescent="0.2">
      <c r="A71" s="62"/>
      <c r="B71" s="26" t="s">
        <v>118</v>
      </c>
      <c r="C71" s="63" t="s">
        <v>11</v>
      </c>
      <c r="D71" s="59"/>
      <c r="E71" s="14"/>
      <c r="F71" s="3"/>
      <c r="G71" s="2"/>
    </row>
    <row r="72" spans="1:26" s="89" customFormat="1" ht="25.5" x14ac:dyDescent="0.2">
      <c r="A72" s="62"/>
      <c r="B72" s="26" t="s">
        <v>32</v>
      </c>
      <c r="C72" s="63" t="s">
        <v>11</v>
      </c>
      <c r="D72" s="59"/>
      <c r="E72" s="14"/>
      <c r="F72" s="3"/>
      <c r="G72" s="2"/>
    </row>
    <row r="73" spans="1:26" s="89" customFormat="1" ht="38.25" x14ac:dyDescent="0.2">
      <c r="A73" s="62"/>
      <c r="B73" s="26" t="s">
        <v>119</v>
      </c>
      <c r="C73" s="63" t="s">
        <v>11</v>
      </c>
      <c r="D73" s="59"/>
      <c r="E73" s="14"/>
      <c r="F73" s="3"/>
      <c r="G73" s="2"/>
    </row>
    <row r="74" spans="1:26" s="89" customFormat="1" ht="25.5" x14ac:dyDescent="0.2">
      <c r="A74" s="62"/>
      <c r="B74" s="26" t="s">
        <v>74</v>
      </c>
      <c r="C74" s="63" t="s">
        <v>11</v>
      </c>
      <c r="D74" s="59"/>
      <c r="E74" s="14"/>
      <c r="F74" s="3"/>
      <c r="G74" s="2"/>
    </row>
    <row r="75" spans="1:26" s="89" customFormat="1" ht="25.5" x14ac:dyDescent="0.2">
      <c r="A75" s="62"/>
      <c r="B75" s="26" t="s">
        <v>71</v>
      </c>
      <c r="C75" s="63" t="s">
        <v>11</v>
      </c>
      <c r="D75" s="59"/>
      <c r="E75" s="14"/>
      <c r="F75" s="3"/>
      <c r="G75" s="2"/>
    </row>
    <row r="76" spans="1:26" s="89" customFormat="1" ht="38.25" x14ac:dyDescent="0.2">
      <c r="A76" s="62"/>
      <c r="B76" s="37" t="s">
        <v>67</v>
      </c>
      <c r="C76" s="63" t="s">
        <v>11</v>
      </c>
      <c r="D76" s="59"/>
      <c r="E76" s="14"/>
      <c r="F76" s="3"/>
      <c r="G76" s="2"/>
    </row>
    <row r="77" spans="1:26" ht="25.5" x14ac:dyDescent="0.2">
      <c r="A77" s="62"/>
      <c r="B77" s="64" t="s">
        <v>82</v>
      </c>
      <c r="C77" s="55" t="s">
        <v>11</v>
      </c>
      <c r="D77" s="66"/>
      <c r="E77" s="66"/>
      <c r="F77" s="67"/>
      <c r="G77" s="68"/>
      <c r="H77" s="92"/>
      <c r="I77" s="92"/>
      <c r="J77" s="92"/>
      <c r="K77" s="92"/>
      <c r="L77" s="93"/>
      <c r="M77" s="93"/>
      <c r="N77" s="93"/>
      <c r="O77" s="93"/>
      <c r="P77" s="93"/>
      <c r="Q77" s="94"/>
      <c r="R77" s="94"/>
      <c r="S77" s="94"/>
      <c r="T77" s="94"/>
      <c r="U77" s="94"/>
      <c r="V77" s="95"/>
      <c r="W77" s="95"/>
      <c r="X77" s="95"/>
      <c r="Y77" s="95"/>
      <c r="Z77" s="95"/>
    </row>
    <row r="78" spans="1:26" ht="51" x14ac:dyDescent="0.2">
      <c r="A78" s="62"/>
      <c r="B78" s="65" t="s">
        <v>102</v>
      </c>
      <c r="C78" s="55" t="s">
        <v>11</v>
      </c>
      <c r="D78" s="66"/>
      <c r="E78" s="66"/>
      <c r="F78" s="67"/>
      <c r="G78" s="68"/>
      <c r="H78" s="92"/>
      <c r="I78" s="92"/>
      <c r="J78" s="92"/>
      <c r="K78" s="92"/>
      <c r="L78" s="93"/>
      <c r="M78" s="93"/>
      <c r="N78" s="93"/>
      <c r="O78" s="93"/>
      <c r="P78" s="93"/>
      <c r="Q78" s="94"/>
      <c r="R78" s="94"/>
      <c r="S78" s="94"/>
      <c r="T78" s="94"/>
      <c r="U78" s="94"/>
      <c r="V78" s="95"/>
      <c r="W78" s="95"/>
      <c r="X78" s="95"/>
      <c r="Y78" s="95"/>
      <c r="Z78" s="95"/>
    </row>
    <row r="79" spans="1:26" ht="38.25" x14ac:dyDescent="0.2">
      <c r="A79" s="62"/>
      <c r="B79" s="65" t="s">
        <v>137</v>
      </c>
      <c r="C79" s="55" t="s">
        <v>11</v>
      </c>
      <c r="D79" s="66"/>
      <c r="E79" s="66"/>
      <c r="F79" s="67"/>
      <c r="G79" s="68"/>
      <c r="H79" s="92"/>
      <c r="I79" s="92"/>
      <c r="J79" s="92"/>
      <c r="K79" s="92"/>
      <c r="L79" s="93"/>
      <c r="M79" s="93"/>
      <c r="N79" s="93"/>
      <c r="O79" s="93"/>
      <c r="P79" s="93"/>
      <c r="Q79" s="94"/>
      <c r="R79" s="94"/>
      <c r="S79" s="94"/>
      <c r="T79" s="94"/>
      <c r="U79" s="94"/>
      <c r="V79" s="95"/>
      <c r="W79" s="95"/>
      <c r="X79" s="95"/>
      <c r="Y79" s="95"/>
      <c r="Z79" s="95"/>
    </row>
    <row r="80" spans="1:26" s="89" customFormat="1" x14ac:dyDescent="0.2">
      <c r="A80" s="87"/>
      <c r="B80" s="78" t="s">
        <v>33</v>
      </c>
      <c r="C80" s="79"/>
      <c r="D80" s="80"/>
      <c r="E80" s="83"/>
      <c r="F80" s="84"/>
      <c r="G80" s="85"/>
    </row>
    <row r="81" spans="1:7" s="89" customFormat="1" ht="38.25" x14ac:dyDescent="0.2">
      <c r="A81" s="62"/>
      <c r="B81" s="30" t="s">
        <v>120</v>
      </c>
      <c r="C81" s="63" t="s">
        <v>11</v>
      </c>
      <c r="D81" s="61"/>
      <c r="E81" s="17"/>
      <c r="F81" s="6"/>
      <c r="G81" s="7"/>
    </row>
    <row r="82" spans="1:7" s="89" customFormat="1" ht="51" x14ac:dyDescent="0.2">
      <c r="A82" s="62"/>
      <c r="B82" s="26" t="s">
        <v>75</v>
      </c>
      <c r="C82" s="63" t="s">
        <v>11</v>
      </c>
      <c r="D82" s="59"/>
      <c r="E82" s="13"/>
      <c r="F82" s="3"/>
      <c r="G82" s="2"/>
    </row>
    <row r="83" spans="1:7" s="89" customFormat="1" ht="51" x14ac:dyDescent="0.2">
      <c r="A83" s="62"/>
      <c r="B83" s="26" t="s">
        <v>87</v>
      </c>
      <c r="C83" s="63" t="s">
        <v>11</v>
      </c>
      <c r="D83" s="59"/>
      <c r="E83" s="13"/>
      <c r="F83" s="3"/>
      <c r="G83" s="2"/>
    </row>
    <row r="84" spans="1:7" s="89" customFormat="1" ht="25.5" x14ac:dyDescent="0.2">
      <c r="A84" s="62"/>
      <c r="B84" s="26" t="s">
        <v>34</v>
      </c>
      <c r="C84" s="63" t="s">
        <v>11</v>
      </c>
      <c r="D84" s="59"/>
      <c r="E84" s="13"/>
      <c r="F84" s="3"/>
      <c r="G84" s="2"/>
    </row>
    <row r="85" spans="1:7" s="89" customFormat="1" ht="25.5" x14ac:dyDescent="0.2">
      <c r="A85" s="62"/>
      <c r="B85" s="32" t="s">
        <v>35</v>
      </c>
      <c r="C85" s="63" t="s">
        <v>11</v>
      </c>
      <c r="D85" s="60"/>
      <c r="E85" s="14"/>
      <c r="F85" s="3"/>
      <c r="G85" s="2"/>
    </row>
    <row r="86" spans="1:7" s="89" customFormat="1" ht="89.25" x14ac:dyDescent="0.2">
      <c r="A86" s="62"/>
      <c r="B86" s="32" t="s">
        <v>90</v>
      </c>
      <c r="C86" s="63" t="s">
        <v>11</v>
      </c>
      <c r="D86" s="69"/>
      <c r="E86" s="12"/>
      <c r="F86" s="4"/>
      <c r="G86" s="5"/>
    </row>
    <row r="87" spans="1:7" s="89" customFormat="1" ht="63.75" x14ac:dyDescent="0.2">
      <c r="A87" s="62"/>
      <c r="B87" s="56" t="s">
        <v>89</v>
      </c>
      <c r="C87" s="55" t="s">
        <v>11</v>
      </c>
      <c r="D87" s="69"/>
      <c r="E87" s="12"/>
      <c r="F87" s="4"/>
      <c r="G87" s="5"/>
    </row>
    <row r="88" spans="1:7" s="89" customFormat="1" ht="51" x14ac:dyDescent="0.2">
      <c r="A88" s="62"/>
      <c r="B88" s="96" t="s">
        <v>134</v>
      </c>
      <c r="C88" s="63" t="s">
        <v>11</v>
      </c>
      <c r="D88" s="60"/>
      <c r="E88" s="14"/>
      <c r="F88" s="3"/>
      <c r="G88" s="2"/>
    </row>
    <row r="89" spans="1:7" s="89" customFormat="1" x14ac:dyDescent="0.2">
      <c r="A89" s="87"/>
      <c r="B89" s="78" t="s">
        <v>37</v>
      </c>
      <c r="C89" s="79"/>
      <c r="D89" s="80"/>
      <c r="E89" s="86"/>
      <c r="F89" s="84"/>
      <c r="G89" s="85"/>
    </row>
    <row r="90" spans="1:7" s="89" customFormat="1" ht="51" x14ac:dyDescent="0.2">
      <c r="A90" s="62"/>
      <c r="B90" s="30" t="s">
        <v>38</v>
      </c>
      <c r="C90" s="63" t="s">
        <v>11</v>
      </c>
      <c r="D90" s="61"/>
      <c r="E90" s="23"/>
      <c r="F90" s="70"/>
      <c r="G90" s="70"/>
    </row>
    <row r="91" spans="1:7" s="89" customFormat="1" ht="38.25" x14ac:dyDescent="0.2">
      <c r="A91" s="62"/>
      <c r="B91" s="30" t="s">
        <v>39</v>
      </c>
      <c r="C91" s="63" t="s">
        <v>11</v>
      </c>
      <c r="D91" s="61"/>
      <c r="E91" s="23"/>
      <c r="F91" s="70"/>
      <c r="G91" s="70"/>
    </row>
    <row r="92" spans="1:7" s="89" customFormat="1" ht="38.25" x14ac:dyDescent="0.2">
      <c r="A92" s="62"/>
      <c r="B92" s="26" t="s">
        <v>98</v>
      </c>
      <c r="C92" s="63" t="s">
        <v>11</v>
      </c>
      <c r="D92" s="59"/>
      <c r="E92" s="13"/>
      <c r="F92" s="54"/>
      <c r="G92" s="54"/>
    </row>
    <row r="93" spans="1:7" s="89" customFormat="1" ht="63.75" x14ac:dyDescent="0.2">
      <c r="A93" s="62"/>
      <c r="B93" s="34" t="s">
        <v>40</v>
      </c>
      <c r="C93" s="63" t="s">
        <v>11</v>
      </c>
      <c r="D93" s="56"/>
      <c r="E93" s="16"/>
      <c r="F93" s="54"/>
      <c r="G93" s="54"/>
    </row>
    <row r="94" spans="1:7" s="89" customFormat="1" ht="25.5" x14ac:dyDescent="0.2">
      <c r="A94" s="62"/>
      <c r="B94" s="34" t="s">
        <v>122</v>
      </c>
      <c r="C94" s="63" t="s">
        <v>11</v>
      </c>
      <c r="D94" s="71"/>
      <c r="E94" s="16"/>
      <c r="F94" s="54"/>
      <c r="G94" s="54"/>
    </row>
    <row r="95" spans="1:7" s="89" customFormat="1" ht="114.75" x14ac:dyDescent="0.2">
      <c r="A95" s="62"/>
      <c r="B95" s="34" t="s">
        <v>123</v>
      </c>
      <c r="C95" s="63" t="s">
        <v>11</v>
      </c>
      <c r="D95" s="71"/>
      <c r="E95" s="13"/>
      <c r="F95" s="54"/>
      <c r="G95" s="54"/>
    </row>
    <row r="96" spans="1:7" s="89" customFormat="1" ht="51" x14ac:dyDescent="0.2">
      <c r="A96" s="62"/>
      <c r="B96" s="31" t="s">
        <v>41</v>
      </c>
      <c r="C96" s="63" t="s">
        <v>11</v>
      </c>
      <c r="D96" s="71"/>
      <c r="E96" s="13"/>
      <c r="F96" s="54"/>
      <c r="G96" s="54"/>
    </row>
    <row r="97" spans="1:7" s="89" customFormat="1" ht="89.25" x14ac:dyDescent="0.2">
      <c r="A97" s="62"/>
      <c r="B97" s="34" t="s">
        <v>135</v>
      </c>
      <c r="C97" s="63" t="s">
        <v>11</v>
      </c>
      <c r="D97" s="71"/>
      <c r="E97" s="18"/>
      <c r="F97" s="56"/>
      <c r="G97" s="54"/>
    </row>
    <row r="98" spans="1:7" s="89" customFormat="1" ht="25.5" x14ac:dyDescent="0.2">
      <c r="A98" s="62"/>
      <c r="B98" s="34" t="s">
        <v>42</v>
      </c>
      <c r="C98" s="63" t="s">
        <v>11</v>
      </c>
      <c r="D98" s="71"/>
      <c r="E98" s="24"/>
      <c r="F98" s="54"/>
      <c r="G98" s="54"/>
    </row>
    <row r="99" spans="1:7" s="89" customFormat="1" ht="51" x14ac:dyDescent="0.2">
      <c r="A99" s="62"/>
      <c r="B99" s="34" t="s">
        <v>43</v>
      </c>
      <c r="C99" s="63" t="s">
        <v>11</v>
      </c>
      <c r="D99" s="71"/>
      <c r="E99" s="11"/>
      <c r="F99" s="56"/>
      <c r="G99" s="54"/>
    </row>
    <row r="100" spans="1:7" s="89" customFormat="1" ht="76.5" x14ac:dyDescent="0.2">
      <c r="A100" s="62"/>
      <c r="B100" s="34" t="s">
        <v>76</v>
      </c>
      <c r="C100" s="63" t="s">
        <v>11</v>
      </c>
      <c r="D100" s="71"/>
      <c r="E100" s="13"/>
      <c r="F100" s="54"/>
      <c r="G100" s="54"/>
    </row>
    <row r="101" spans="1:7" s="89" customFormat="1" ht="25.5" x14ac:dyDescent="0.2">
      <c r="A101" s="62"/>
      <c r="B101" s="35" t="s">
        <v>124</v>
      </c>
      <c r="C101" s="63" t="s">
        <v>11</v>
      </c>
      <c r="D101" s="72"/>
      <c r="E101" s="15"/>
      <c r="F101" s="73"/>
      <c r="G101" s="73"/>
    </row>
    <row r="102" spans="1:7" s="89" customFormat="1" ht="51" x14ac:dyDescent="0.2">
      <c r="A102" s="62"/>
      <c r="B102" s="13" t="s">
        <v>125</v>
      </c>
      <c r="C102" s="63" t="s">
        <v>11</v>
      </c>
      <c r="D102" s="56"/>
      <c r="E102" s="10"/>
      <c r="F102" s="54"/>
      <c r="G102" s="54"/>
    </row>
    <row r="103" spans="1:7" s="89" customFormat="1" ht="63.75" x14ac:dyDescent="0.2">
      <c r="A103" s="62"/>
      <c r="B103" s="13" t="s">
        <v>126</v>
      </c>
      <c r="C103" s="63" t="s">
        <v>11</v>
      </c>
      <c r="D103" s="56"/>
      <c r="E103" s="13"/>
      <c r="F103" s="54"/>
      <c r="G103" s="54"/>
    </row>
    <row r="104" spans="1:7" s="89" customFormat="1" ht="63.75" x14ac:dyDescent="0.2">
      <c r="A104" s="62"/>
      <c r="B104" s="13" t="s">
        <v>68</v>
      </c>
      <c r="C104" s="63" t="s">
        <v>11</v>
      </c>
      <c r="D104" s="56"/>
      <c r="E104" s="11"/>
      <c r="F104" s="56"/>
      <c r="G104" s="54"/>
    </row>
    <row r="105" spans="1:7" s="89" customFormat="1" ht="38.25" x14ac:dyDescent="0.2">
      <c r="A105" s="62"/>
      <c r="B105" s="13" t="s">
        <v>117</v>
      </c>
      <c r="C105" s="63" t="s">
        <v>11</v>
      </c>
      <c r="D105" s="56"/>
      <c r="E105" s="11"/>
      <c r="F105" s="56"/>
      <c r="G105" s="54"/>
    </row>
    <row r="106" spans="1:7" s="89" customFormat="1" ht="76.5" x14ac:dyDescent="0.2">
      <c r="A106" s="62"/>
      <c r="B106" s="13" t="s">
        <v>92</v>
      </c>
      <c r="C106" s="63" t="s">
        <v>11</v>
      </c>
      <c r="D106" s="56"/>
      <c r="E106" s="11"/>
      <c r="F106" s="56"/>
      <c r="G106" s="54"/>
    </row>
    <row r="107" spans="1:7" s="89" customFormat="1" x14ac:dyDescent="0.2">
      <c r="A107" s="87"/>
      <c r="B107" s="78" t="s">
        <v>44</v>
      </c>
      <c r="C107" s="79"/>
      <c r="D107" s="80"/>
      <c r="E107" s="86"/>
      <c r="F107" s="84"/>
      <c r="G107" s="85"/>
    </row>
    <row r="108" spans="1:7" s="89" customFormat="1" ht="51" x14ac:dyDescent="0.2">
      <c r="A108" s="62"/>
      <c r="B108" s="76" t="s">
        <v>138</v>
      </c>
      <c r="C108" s="63" t="s">
        <v>11</v>
      </c>
      <c r="D108" s="59"/>
      <c r="E108" s="38"/>
      <c r="F108" s="62"/>
      <c r="G108" s="62"/>
    </row>
    <row r="109" spans="1:7" s="89" customFormat="1" ht="63.75" x14ac:dyDescent="0.2">
      <c r="A109" s="62"/>
      <c r="B109" s="76" t="s">
        <v>94</v>
      </c>
      <c r="C109" s="63" t="s">
        <v>11</v>
      </c>
      <c r="D109" s="59"/>
      <c r="E109" s="38"/>
      <c r="F109" s="62"/>
      <c r="G109" s="62"/>
    </row>
    <row r="110" spans="1:7" s="89" customFormat="1" ht="63.75" x14ac:dyDescent="0.2">
      <c r="A110" s="62"/>
      <c r="B110" s="76" t="s">
        <v>95</v>
      </c>
      <c r="C110" s="63" t="s">
        <v>11</v>
      </c>
      <c r="D110" s="59"/>
      <c r="E110" s="38"/>
      <c r="F110" s="62"/>
      <c r="G110" s="62"/>
    </row>
    <row r="111" spans="1:7" s="89" customFormat="1" ht="38.25" x14ac:dyDescent="0.2">
      <c r="A111" s="62"/>
      <c r="B111" s="76" t="s">
        <v>97</v>
      </c>
      <c r="C111" s="63" t="s">
        <v>11</v>
      </c>
      <c r="D111" s="59"/>
      <c r="E111" s="38"/>
      <c r="F111" s="62"/>
      <c r="G111" s="62"/>
    </row>
    <row r="112" spans="1:7" s="89" customFormat="1" ht="25.5" x14ac:dyDescent="0.2">
      <c r="A112" s="62"/>
      <c r="B112" s="76" t="s">
        <v>69</v>
      </c>
      <c r="C112" s="63" t="s">
        <v>11</v>
      </c>
      <c r="D112" s="59"/>
      <c r="E112" s="38"/>
      <c r="F112" s="62"/>
      <c r="G112" s="62"/>
    </row>
    <row r="113" spans="1:7" s="89" customFormat="1" ht="51" x14ac:dyDescent="0.2">
      <c r="A113" s="62"/>
      <c r="B113" s="76" t="s">
        <v>70</v>
      </c>
      <c r="C113" s="63" t="s">
        <v>11</v>
      </c>
      <c r="D113" s="59"/>
      <c r="E113" s="38"/>
      <c r="F113" s="62"/>
      <c r="G113" s="62"/>
    </row>
    <row r="114" spans="1:7" s="89" customFormat="1" ht="51" x14ac:dyDescent="0.2">
      <c r="A114" s="62"/>
      <c r="B114" s="30" t="s">
        <v>45</v>
      </c>
      <c r="C114" s="63" t="s">
        <v>11</v>
      </c>
      <c r="D114" s="61"/>
      <c r="E114" s="6"/>
      <c r="F114" s="17"/>
      <c r="G114" s="7"/>
    </row>
    <row r="115" spans="1:7" s="89" customFormat="1" ht="25.5" x14ac:dyDescent="0.2">
      <c r="A115" s="62"/>
      <c r="B115" s="30" t="s">
        <v>91</v>
      </c>
      <c r="C115" s="63" t="s">
        <v>11</v>
      </c>
      <c r="D115" s="61"/>
      <c r="E115" s="17"/>
      <c r="F115" s="6"/>
      <c r="G115" s="7"/>
    </row>
    <row r="116" spans="1:7" s="89" customFormat="1" ht="25.5" x14ac:dyDescent="0.2">
      <c r="A116" s="62"/>
      <c r="B116" s="26" t="s">
        <v>46</v>
      </c>
      <c r="C116" s="63" t="s">
        <v>11</v>
      </c>
      <c r="D116" s="59"/>
      <c r="E116" s="3"/>
      <c r="F116" s="14"/>
      <c r="G116" s="2"/>
    </row>
    <row r="117" spans="1:7" s="89" customFormat="1" ht="25.5" x14ac:dyDescent="0.2">
      <c r="A117" s="62"/>
      <c r="B117" s="26" t="s">
        <v>47</v>
      </c>
      <c r="C117" s="63" t="s">
        <v>11</v>
      </c>
      <c r="D117" s="59"/>
      <c r="E117" s="3"/>
      <c r="F117" s="14"/>
      <c r="G117" s="2"/>
    </row>
    <row r="118" spans="1:7" s="89" customFormat="1" ht="25.5" x14ac:dyDescent="0.2">
      <c r="A118" s="62"/>
      <c r="B118" s="26" t="s">
        <v>48</v>
      </c>
      <c r="C118" s="63" t="s">
        <v>11</v>
      </c>
      <c r="D118" s="59"/>
      <c r="E118" s="3"/>
      <c r="F118" s="14"/>
      <c r="G118" s="2"/>
    </row>
    <row r="119" spans="1:7" s="89" customFormat="1" ht="89.25" x14ac:dyDescent="0.2">
      <c r="A119" s="62"/>
      <c r="B119" s="36" t="s">
        <v>77</v>
      </c>
      <c r="C119" s="63" t="s">
        <v>11</v>
      </c>
      <c r="D119" s="74"/>
      <c r="E119" s="22"/>
      <c r="F119" s="12"/>
      <c r="G119" s="5"/>
    </row>
    <row r="120" spans="1:7" s="89" customFormat="1" ht="51" x14ac:dyDescent="0.2">
      <c r="A120" s="62"/>
      <c r="B120" s="36" t="s">
        <v>49</v>
      </c>
      <c r="C120" s="63" t="s">
        <v>11</v>
      </c>
      <c r="D120" s="74"/>
      <c r="E120" s="25"/>
      <c r="F120" s="12"/>
      <c r="G120" s="5"/>
    </row>
    <row r="121" spans="1:7" s="89" customFormat="1" x14ac:dyDescent="0.2">
      <c r="A121" s="62"/>
      <c r="B121" s="36" t="s">
        <v>50</v>
      </c>
      <c r="C121" s="63" t="s">
        <v>11</v>
      </c>
      <c r="D121" s="74"/>
      <c r="E121" s="12"/>
      <c r="F121" s="4"/>
      <c r="G121" s="5"/>
    </row>
    <row r="122" spans="1:7" s="89" customFormat="1" ht="51" x14ac:dyDescent="0.2">
      <c r="A122" s="62"/>
      <c r="B122" s="36" t="s">
        <v>93</v>
      </c>
      <c r="C122" s="63" t="s">
        <v>11</v>
      </c>
      <c r="D122" s="74"/>
      <c r="E122" s="12"/>
      <c r="F122" s="4"/>
      <c r="G122" s="5"/>
    </row>
    <row r="123" spans="1:7" s="89" customFormat="1" x14ac:dyDescent="0.2">
      <c r="A123" s="87"/>
      <c r="B123" s="78" t="s">
        <v>51</v>
      </c>
      <c r="C123" s="79"/>
      <c r="D123" s="80"/>
      <c r="E123" s="86"/>
      <c r="F123" s="84"/>
      <c r="G123" s="85"/>
    </row>
    <row r="124" spans="1:7" s="89" customFormat="1" ht="25.5" x14ac:dyDescent="0.2">
      <c r="A124" s="62"/>
      <c r="B124" s="26" t="s">
        <v>127</v>
      </c>
      <c r="C124" s="63" t="s">
        <v>11</v>
      </c>
      <c r="D124" s="59"/>
      <c r="E124" s="59"/>
      <c r="F124" s="54"/>
      <c r="G124" s="54"/>
    </row>
    <row r="125" spans="1:7" s="89" customFormat="1" x14ac:dyDescent="0.2">
      <c r="A125" s="62"/>
      <c r="B125" s="32" t="s">
        <v>52</v>
      </c>
      <c r="C125" s="63" t="s">
        <v>11</v>
      </c>
      <c r="D125" s="60"/>
      <c r="E125" s="19"/>
      <c r="F125" s="14"/>
      <c r="G125" s="2"/>
    </row>
    <row r="126" spans="1:7" s="89" customFormat="1" ht="25.5" x14ac:dyDescent="0.2">
      <c r="A126" s="62"/>
      <c r="B126" s="34" t="s">
        <v>128</v>
      </c>
      <c r="C126" s="63" t="s">
        <v>11</v>
      </c>
      <c r="D126" s="71"/>
      <c r="E126" s="11"/>
      <c r="F126" s="56"/>
      <c r="G126" s="54"/>
    </row>
    <row r="127" spans="1:7" s="89" customFormat="1" ht="114.75" x14ac:dyDescent="0.2">
      <c r="A127" s="62"/>
      <c r="B127" s="34" t="s">
        <v>129</v>
      </c>
      <c r="C127" s="63" t="s">
        <v>11</v>
      </c>
      <c r="D127" s="71"/>
      <c r="E127" s="11"/>
      <c r="F127" s="56"/>
      <c r="G127" s="54"/>
    </row>
    <row r="128" spans="1:7" s="89" customFormat="1" ht="76.5" x14ac:dyDescent="0.2">
      <c r="A128" s="62"/>
      <c r="B128" s="32" t="s">
        <v>130</v>
      </c>
      <c r="C128" s="63" t="s">
        <v>11</v>
      </c>
      <c r="D128" s="60"/>
      <c r="E128" s="11"/>
      <c r="F128" s="54"/>
      <c r="G128" s="54"/>
    </row>
    <row r="129" spans="1:7" s="89" customFormat="1" ht="25.5" x14ac:dyDescent="0.2">
      <c r="A129" s="62"/>
      <c r="B129" s="26" t="s">
        <v>53</v>
      </c>
      <c r="C129" s="63" t="s">
        <v>11</v>
      </c>
      <c r="D129" s="59"/>
      <c r="E129" s="21"/>
      <c r="F129" s="59"/>
      <c r="G129" s="62"/>
    </row>
    <row r="130" spans="1:7" s="89" customFormat="1" ht="51" x14ac:dyDescent="0.2">
      <c r="A130" s="62"/>
      <c r="B130" s="32" t="s">
        <v>54</v>
      </c>
      <c r="C130" s="63" t="s">
        <v>11</v>
      </c>
      <c r="D130" s="60"/>
      <c r="E130" s="20"/>
      <c r="F130" s="59"/>
      <c r="G130" s="62"/>
    </row>
    <row r="131" spans="1:7" s="89" customFormat="1" ht="25.5" x14ac:dyDescent="0.2">
      <c r="A131" s="62"/>
      <c r="B131" s="32" t="s">
        <v>55</v>
      </c>
      <c r="C131" s="63" t="s">
        <v>11</v>
      </c>
      <c r="D131" s="60"/>
      <c r="E131" s="20"/>
      <c r="F131" s="59"/>
      <c r="G131" s="62"/>
    </row>
    <row r="132" spans="1:7" s="89" customFormat="1" ht="38.25" x14ac:dyDescent="0.2">
      <c r="A132" s="62"/>
      <c r="B132" s="32" t="s">
        <v>72</v>
      </c>
      <c r="C132" s="63" t="s">
        <v>11</v>
      </c>
      <c r="D132" s="60"/>
      <c r="E132" s="20"/>
      <c r="F132" s="59"/>
      <c r="G132" s="62"/>
    </row>
    <row r="133" spans="1:7" s="89" customFormat="1" x14ac:dyDescent="0.2">
      <c r="A133" s="87"/>
      <c r="B133" s="78" t="s">
        <v>85</v>
      </c>
      <c r="C133" s="79"/>
      <c r="D133" s="80"/>
      <c r="E133" s="86"/>
      <c r="F133" s="84"/>
      <c r="G133" s="85"/>
    </row>
    <row r="134" spans="1:7" ht="25.5" x14ac:dyDescent="0.2">
      <c r="A134" s="75"/>
      <c r="B134" s="59" t="s">
        <v>78</v>
      </c>
      <c r="C134" s="63" t="s">
        <v>11</v>
      </c>
      <c r="D134" s="60"/>
      <c r="E134" s="20"/>
      <c r="F134" s="59"/>
      <c r="G134" s="62"/>
    </row>
    <row r="135" spans="1:7" ht="25.5" x14ac:dyDescent="0.2">
      <c r="A135" s="75"/>
      <c r="B135" s="59" t="s">
        <v>86</v>
      </c>
      <c r="C135" s="63" t="s">
        <v>11</v>
      </c>
      <c r="D135" s="60"/>
      <c r="E135" s="20"/>
      <c r="F135" s="59"/>
      <c r="G135" s="62"/>
    </row>
    <row r="136" spans="1:7" ht="38.25" x14ac:dyDescent="0.2">
      <c r="A136" s="75"/>
      <c r="B136" s="59" t="s">
        <v>79</v>
      </c>
      <c r="C136" s="63" t="s">
        <v>11</v>
      </c>
      <c r="D136" s="60"/>
      <c r="E136" s="20"/>
      <c r="F136" s="59"/>
      <c r="G136" s="62"/>
    </row>
  </sheetData>
  <phoneticPr fontId="9" type="noConversion"/>
  <conditionalFormatting sqref="C13:C21 C23:C36 C38:C56 C58:C68 C81:C88 C90:C106">
    <cfRule type="cellIs" dxfId="14" priority="34" operator="equal">
      <formula>"N/A"</formula>
    </cfRule>
    <cfRule type="cellIs" dxfId="13" priority="35" operator="equal">
      <formula>"Closed"</formula>
    </cfRule>
    <cfRule type="cellIs" dxfId="12" priority="36" operator="equal">
      <formula>"Open"</formula>
    </cfRule>
  </conditionalFormatting>
  <conditionalFormatting sqref="C70:C79">
    <cfRule type="cellIs" dxfId="11" priority="1" operator="equal">
      <formula>"N/A"</formula>
    </cfRule>
    <cfRule type="cellIs" dxfId="10" priority="2" operator="equal">
      <formula>"Closed"</formula>
    </cfRule>
    <cfRule type="cellIs" dxfId="9" priority="3" operator="equal">
      <formula>"Open"</formula>
    </cfRule>
  </conditionalFormatting>
  <conditionalFormatting sqref="C108:C122">
    <cfRule type="cellIs" dxfId="8" priority="22" operator="equal">
      <formula>"N/A"</formula>
    </cfRule>
    <cfRule type="cellIs" dxfId="7" priority="23" operator="equal">
      <formula>"Closed"</formula>
    </cfRule>
    <cfRule type="cellIs" dxfId="6" priority="24" operator="equal">
      <formula>"Open"</formula>
    </cfRule>
  </conditionalFormatting>
  <conditionalFormatting sqref="C124:C132">
    <cfRule type="cellIs" dxfId="5" priority="49" operator="equal">
      <formula>"N/A"</formula>
    </cfRule>
    <cfRule type="cellIs" dxfId="4" priority="50" operator="equal">
      <formula>"Closed"</formula>
    </cfRule>
    <cfRule type="cellIs" dxfId="3" priority="51" operator="equal">
      <formula>"Open"</formula>
    </cfRule>
  </conditionalFormatting>
  <conditionalFormatting sqref="C134:C136">
    <cfRule type="cellIs" dxfId="2" priority="13" operator="equal">
      <formula>"N/A"</formula>
    </cfRule>
    <cfRule type="cellIs" dxfId="1" priority="14" operator="equal">
      <formula>"Closed"</formula>
    </cfRule>
    <cfRule type="cellIs" dxfId="0" priority="15" operator="equal">
      <formula>"Open"</formula>
    </cfRule>
  </conditionalFormatting>
  <dataValidations count="1">
    <dataValidation type="list" allowBlank="1" showInputMessage="1" showErrorMessage="1" sqref="C70:C79 C38:C56 C108:C122 C134:C136 C13:C21 C58:C68 C90:C106 C81:C88 C124:C132 C23:C36" xr:uid="{1FDD4D77-8E10-4199-97BC-D2F6AA19F8AE}">
      <formula1>"Open,Closed,N/A"</formula1>
    </dataValidation>
  </dataValidations>
  <pageMargins left="0.25" right="0.2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F1C74728-46BC-4226-B582-374917156D46}"/>
</file>

<file path=customXml/itemProps2.xml><?xml version="1.0" encoding="utf-8"?>
<ds:datastoreItem xmlns:ds="http://schemas.openxmlformats.org/officeDocument/2006/customXml" ds:itemID="{94920153-CE53-44AF-942F-0BD3E77BE783}"/>
</file>

<file path=customXml/itemProps3.xml><?xml version="1.0" encoding="utf-8"?>
<ds:datastoreItem xmlns:ds="http://schemas.openxmlformats.org/officeDocument/2006/customXml" ds:itemID="{903ACC7D-EC48-498F-88F4-1F433349CE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HEC-RAS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2026-10-08T02:49:03Z</dcterms:created>
  <dcterms:modified xsi:type="dcterms:W3CDTF">2026-10-08T02:49:07Z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