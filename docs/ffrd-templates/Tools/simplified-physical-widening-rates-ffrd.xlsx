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diagrams/data2.xml" ContentType="application/vnd.openxmlformats-officedocument.drawingml.diagramData+xml"/>
  <Override PartName="/xl/diagrams/data1.xml" ContentType="application/vnd.openxmlformats-officedocument.drawingml.diagramData+xml"/>
  <Override PartName="/xl/diagrams/data3.xml" ContentType="application/vnd.openxmlformats-officedocument.drawingml.diagramData+xml"/>
  <Override PartName="/xl/worksheets/sheet3.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styles.xml" ContentType="application/vnd.openxmlformats-officedocument.spreadsheetml.styles+xml"/>
  <Override PartName="/xl/diagrams/layout2.xml" ContentType="application/vnd.openxmlformats-officedocument.drawingml.diagramLayout+xml"/>
  <Override PartName="/xl/diagrams/quickStyle2.xml" ContentType="application/vnd.openxmlformats-officedocument.drawingml.diagramStyle+xml"/>
  <Override PartName="/xl/diagrams/colors2.xml" ContentType="application/vnd.openxmlformats-officedocument.drawingml.diagramColors+xml"/>
  <Override PartName="/xl/diagrams/drawing2.xml" ContentType="application/vnd.ms-office.drawingml.diagramDrawing+xml"/>
  <Override PartName="/xl/diagrams/layout3.xml" ContentType="application/vnd.openxmlformats-officedocument.drawingml.diagramLayout+xml"/>
  <Override PartName="/xl/diagrams/quickStyle3.xml" ContentType="application/vnd.openxmlformats-officedocument.drawingml.diagramStyle+xml"/>
  <Override PartName="/xl/diagrams/colors3.xml" ContentType="application/vnd.openxmlformats-officedocument.drawingml.diagramColors+xml"/>
  <Override PartName="/xl/diagrams/drawing3.xml" ContentType="application/vnd.ms-office.drawingml.diagramDrawing+xml"/>
  <Override PartName="/xl/worksheets/sheet1.xml" ContentType="application/vnd.openxmlformats-officedocument.spreadsheetml.worksheet+xml"/>
  <Override PartName="/xl/worksheets/sheet2.xml" ContentType="application/vnd.openxmlformats-officedocument.spreadsheetml.worksheet+xml"/>
  <Override PartName="/docProps/app.xml" ContentType="application/vnd.openxmlformats-officedocument.extended-properties+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66925"/>
  <xr:revisionPtr revIDLastSave="0" documentId="13_ncr:1_{E6B68E69-17DC-43E0-8627-F52233DCDBE0}" xr6:coauthVersionLast="47" xr6:coauthVersionMax="47" xr10:uidLastSave="{00000000-0000-0000-0000-000000000000}"/>
  <bookViews>
    <workbookView xWindow="28680" yWindow="-90" windowWidth="29040" windowHeight="15690" xr2:uid="{315CE3DC-2EB4-4851-8CB5-875A9110B2FB}"/>
  </bookViews>
  <sheets>
    <sheet name="Embankment Erosion" sheetId="7" r:id="rId1"/>
    <sheet name="References" sheetId="9" r:id="rId2"/>
    <sheet name="Case Studies" sheetId="10"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7" l="1"/>
  <c r="I10" i="7"/>
  <c r="F17" i="7" l="1"/>
  <c r="C11" i="7"/>
  <c r="D11" i="7"/>
  <c r="E11" i="7"/>
  <c r="F11" i="7"/>
  <c r="I11" i="7"/>
  <c r="I12" i="7"/>
  <c r="I13" i="7"/>
  <c r="F20" i="7"/>
  <c r="D20" i="7"/>
  <c r="E20" i="7"/>
  <c r="C20" i="7"/>
  <c r="B20" i="7"/>
  <c r="B14" i="7" l="1"/>
  <c r="D14" i="7"/>
  <c r="E17" i="7" l="1"/>
  <c r="D17" i="7"/>
  <c r="D28" i="7" s="1"/>
  <c r="C17" i="7"/>
  <c r="B17" i="7"/>
  <c r="F14" i="7"/>
  <c r="F29" i="7" s="1"/>
  <c r="E14" i="7"/>
  <c r="C14" i="7"/>
  <c r="C23" i="7" l="1"/>
  <c r="E25" i="7"/>
  <c r="E34" i="7"/>
  <c r="E33" i="7"/>
  <c r="E32" i="7"/>
  <c r="E31" i="7"/>
  <c r="E30" i="7"/>
  <c r="E29" i="7"/>
  <c r="E28" i="7"/>
  <c r="E27" i="7"/>
  <c r="E26" i="7"/>
  <c r="E24" i="7"/>
  <c r="E23" i="7"/>
  <c r="B24" i="7"/>
  <c r="B25" i="7"/>
  <c r="B26" i="7"/>
  <c r="B27" i="7"/>
  <c r="B28" i="7"/>
  <c r="B29" i="7"/>
  <c r="B30" i="7"/>
  <c r="B31" i="7"/>
  <c r="B32" i="7"/>
  <c r="B34" i="7"/>
  <c r="B23" i="7"/>
  <c r="B33" i="7"/>
  <c r="C24" i="7"/>
  <c r="C25" i="7"/>
  <c r="C26" i="7"/>
  <c r="C27" i="7"/>
  <c r="C28" i="7"/>
  <c r="C29" i="7"/>
  <c r="C34" i="7"/>
  <c r="C30" i="7"/>
  <c r="C31" i="7"/>
  <c r="C32" i="7"/>
  <c r="C33" i="7"/>
  <c r="D34" i="7"/>
  <c r="D24" i="7"/>
  <c r="D25" i="7"/>
  <c r="D26" i="7"/>
  <c r="D27" i="7"/>
  <c r="D33" i="7"/>
  <c r="D29" i="7"/>
  <c r="D30" i="7"/>
  <c r="D31" i="7"/>
  <c r="D32" i="7"/>
  <c r="D23" i="7"/>
  <c r="F24" i="7"/>
  <c r="F25" i="7"/>
  <c r="F26" i="7"/>
  <c r="F27" i="7"/>
  <c r="F28" i="7"/>
  <c r="F23" i="7"/>
  <c r="F30" i="7"/>
  <c r="F31" i="7"/>
  <c r="F34" i="7"/>
  <c r="F32" i="7"/>
  <c r="F33" i="7"/>
</calcChain>
</file>

<file path=xl/sharedStrings.xml><?xml version="1.0" encoding="utf-8"?>
<sst xmlns="http://schemas.openxmlformats.org/spreadsheetml/2006/main" count="84" uniqueCount="79">
  <si>
    <t>MMC Levee Embankment Erosion Rate Calculator</t>
  </si>
  <si>
    <t>This tool calculates  breach erosion rates for structures less than 30 feet tall using the equation to the left. This is based on Robbins (2021) Equation 8.</t>
  </si>
  <si>
    <t>Step 1</t>
  </si>
  <si>
    <t>Determine the levee height to the nearest foot increment. Enter into Row 10 for each breach location. (bright yellow item)</t>
  </si>
  <si>
    <t>Step 2</t>
  </si>
  <si>
    <r>
      <t>Estimate the Erodibility Parameter (k</t>
    </r>
    <r>
      <rPr>
        <vertAlign val="subscript"/>
        <sz val="11"/>
        <color theme="1"/>
        <rFont val="Calibri"/>
        <family val="2"/>
        <scheme val="minor"/>
      </rPr>
      <t>d</t>
    </r>
    <r>
      <rPr>
        <sz val="11"/>
        <color theme="1"/>
        <rFont val="Calibri"/>
        <family val="2"/>
        <scheme val="minor"/>
      </rPr>
      <t>) in row 16 for each breach location in (mm/hr)/Pa with district information, or select from recommended k</t>
    </r>
    <r>
      <rPr>
        <vertAlign val="subscript"/>
        <sz val="11"/>
        <color theme="1"/>
        <rFont val="Calibri"/>
        <family val="2"/>
        <scheme val="minor"/>
      </rPr>
      <t>d</t>
    </r>
    <r>
      <rPr>
        <sz val="11"/>
        <color theme="1"/>
        <rFont val="Calibri"/>
        <family val="2"/>
        <scheme val="minor"/>
      </rPr>
      <t xml:space="preserve"> list to the right. (bright yellow item)</t>
    </r>
  </si>
  <si>
    <t>Step 3</t>
  </si>
  <si>
    <r>
      <t>Optional- if additional information is available estimate manning's N value and τ</t>
    </r>
    <r>
      <rPr>
        <vertAlign val="subscript"/>
        <sz val="11"/>
        <color theme="1"/>
        <rFont val="Calibri"/>
        <family val="2"/>
        <scheme val="minor"/>
      </rPr>
      <t>c</t>
    </r>
    <r>
      <rPr>
        <sz val="11"/>
        <color theme="1"/>
        <rFont val="Calibri"/>
        <family val="2"/>
        <scheme val="minor"/>
      </rPr>
      <t>. τ</t>
    </r>
    <r>
      <rPr>
        <vertAlign val="subscript"/>
        <sz val="11"/>
        <color theme="1"/>
        <rFont val="Calibri"/>
        <family val="2"/>
        <scheme val="minor"/>
      </rPr>
      <t>c</t>
    </r>
    <r>
      <rPr>
        <sz val="11"/>
        <color theme="1"/>
        <rFont val="Calibri"/>
        <family val="2"/>
        <scheme val="minor"/>
      </rPr>
      <t xml:space="preserve"> remains 0 for standard MMC projects (pale yellow items) None of these items are included in the FFRD Process</t>
    </r>
  </si>
  <si>
    <t>Step 4</t>
  </si>
  <si>
    <t>Copy the Velocity Erosion Relationship from Rows 22 to 34 into the Overtopping AND Widening relationships in HEC RAS breach module (light green items)</t>
  </si>
  <si>
    <t>Site Specific Erosion Parameters</t>
  </si>
  <si>
    <t>Levee Name</t>
  </si>
  <si>
    <t>Levee Name2</t>
  </si>
  <si>
    <t>Levee Name 3</t>
  </si>
  <si>
    <t>Levee Name4</t>
  </si>
  <si>
    <t>Levee Name 5</t>
  </si>
  <si>
    <r>
      <t>Recommended k</t>
    </r>
    <r>
      <rPr>
        <vertAlign val="subscript"/>
        <sz val="11"/>
        <color theme="1"/>
        <rFont val="Calibri"/>
        <family val="2"/>
        <scheme val="minor"/>
      </rPr>
      <t>d</t>
    </r>
    <r>
      <rPr>
        <sz val="11"/>
        <color theme="1"/>
        <rFont val="Calibri"/>
        <family val="2"/>
        <scheme val="minor"/>
      </rPr>
      <t xml:space="preserve"> Values;</t>
    </r>
    <r>
      <rPr>
        <b/>
        <sz val="11"/>
        <color theme="1"/>
        <rFont val="Calibri"/>
        <family val="2"/>
        <scheme val="minor"/>
      </rPr>
      <t xml:space="preserve"> if district levee specific data is not available</t>
    </r>
  </si>
  <si>
    <t>Please Refer to the MMC SOP for further Guidance when completing the breach module.</t>
  </si>
  <si>
    <t>Manning's n (though the breach), English units</t>
  </si>
  <si>
    <t>(mm/hr)/Pa</t>
  </si>
  <si>
    <t>(ft/hr)/psf</t>
  </si>
  <si>
    <t>Descriptor</t>
  </si>
  <si>
    <t>Levee Height, H (feet)</t>
  </si>
  <si>
    <t>Moderately Resistant</t>
  </si>
  <si>
    <t>Additional MMC guidance for Breaching</t>
  </si>
  <si>
    <r>
      <t>Partial Calculation= y</t>
    </r>
    <r>
      <rPr>
        <vertAlign val="subscript"/>
        <sz val="11"/>
        <color theme="1"/>
        <rFont val="Calibri"/>
        <family val="2"/>
        <scheme val="minor"/>
      </rPr>
      <t>w</t>
    </r>
    <r>
      <rPr>
        <sz val="11"/>
        <color theme="1"/>
        <rFont val="Calibri"/>
        <family val="2"/>
        <scheme val="minor"/>
      </rPr>
      <t>*(r</t>
    </r>
    <r>
      <rPr>
        <vertAlign val="subscript"/>
        <sz val="11"/>
        <color theme="1"/>
        <rFont val="Calibri"/>
        <family val="2"/>
        <scheme val="minor"/>
      </rPr>
      <t>h</t>
    </r>
    <r>
      <rPr>
        <vertAlign val="superscript"/>
        <sz val="11"/>
        <color theme="1"/>
        <rFont val="Calibri"/>
        <family val="2"/>
        <scheme val="minor"/>
      </rPr>
      <t>-1/3</t>
    </r>
    <r>
      <rPr>
        <sz val="11"/>
        <color theme="1"/>
        <rFont val="Calibri"/>
        <family val="2"/>
        <scheme val="minor"/>
      </rPr>
      <t>)*(n/1.49)</t>
    </r>
    <r>
      <rPr>
        <vertAlign val="superscript"/>
        <sz val="11"/>
        <color theme="1"/>
        <rFont val="Calibri"/>
        <family val="2"/>
        <scheme val="minor"/>
      </rPr>
      <t>2</t>
    </r>
  </si>
  <si>
    <t>Erodible- used for all FFRD Earthen Levees, and Earthen Dams &lt;30ft</t>
  </si>
  <si>
    <t>Center Station- is located at the center of breach location, unless the breach must be moved to</t>
  </si>
  <si>
    <t>Very Erodible- used for FFRD- Floodwall Structures</t>
  </si>
  <si>
    <t xml:space="preserve"> accommodate the edge of a lateral structure or storage area connection.</t>
  </si>
  <si>
    <r>
      <rPr>
        <sz val="14"/>
        <color theme="1"/>
        <rFont val="Calibri"/>
        <family val="2"/>
      </rPr>
      <t>τ</t>
    </r>
    <r>
      <rPr>
        <vertAlign val="subscript"/>
        <sz val="11"/>
        <color theme="1"/>
        <rFont val="Calibri"/>
        <family val="2"/>
        <scheme val="minor"/>
      </rPr>
      <t xml:space="preserve">c </t>
    </r>
    <r>
      <rPr>
        <sz val="11"/>
        <color theme="1"/>
        <rFont val="Calibri"/>
        <family val="2"/>
        <scheme val="minor"/>
      </rPr>
      <t>(Pa)</t>
    </r>
  </si>
  <si>
    <t>Extremely Erodible</t>
  </si>
  <si>
    <t xml:space="preserve">Max Breach Width- The breach is allowed to expand, unless there are physical constraints </t>
  </si>
  <si>
    <r>
      <rPr>
        <sz val="12"/>
        <color theme="1"/>
        <rFont val="Calibri"/>
        <family val="2"/>
        <scheme val="minor"/>
      </rPr>
      <t>τ</t>
    </r>
    <r>
      <rPr>
        <vertAlign val="subscript"/>
        <sz val="11"/>
        <color theme="1"/>
        <rFont val="Calibri"/>
        <family val="2"/>
        <scheme val="minor"/>
      </rPr>
      <t>c</t>
    </r>
    <r>
      <rPr>
        <sz val="11"/>
        <color theme="1"/>
        <rFont val="Calibri"/>
        <family val="2"/>
        <scheme val="minor"/>
      </rPr>
      <t xml:space="preserve">  (psf)</t>
    </r>
  </si>
  <si>
    <t>that would stop expansion.</t>
  </si>
  <si>
    <t>Comments on the Proposed Curves (provided by RMC, Tim O'Leary)</t>
  </si>
  <si>
    <t>Min Bottom Elevation- is set to the lowest landside toe along the breach width.</t>
  </si>
  <si>
    <r>
      <t>k</t>
    </r>
    <r>
      <rPr>
        <vertAlign val="subscript"/>
        <sz val="11"/>
        <color theme="1"/>
        <rFont val="Calibri"/>
        <family val="2"/>
        <scheme val="minor"/>
      </rPr>
      <t>d</t>
    </r>
    <r>
      <rPr>
        <sz val="11"/>
        <color theme="1"/>
        <rFont val="Calibri"/>
        <family val="2"/>
        <scheme val="minor"/>
      </rPr>
      <t xml:space="preserve"> (mm/hr)/Pa</t>
    </r>
  </si>
  <si>
    <r>
      <rPr>
        <b/>
        <sz val="10"/>
        <color theme="1"/>
        <rFont val="Arial"/>
        <family val="2"/>
      </rPr>
      <t>Extremely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mean of all coarse-grained samples in the TAMU database (this is likely lowered by samples with appreciable fines). It is slightly more conservative than the median k</t>
    </r>
    <r>
      <rPr>
        <vertAlign val="subscript"/>
        <sz val="10"/>
        <color theme="1"/>
        <rFont val="Arial"/>
        <family val="2"/>
      </rPr>
      <t>d</t>
    </r>
    <r>
      <rPr>
        <sz val="10"/>
        <color theme="1"/>
        <rFont val="Arial"/>
        <family val="2"/>
      </rPr>
      <t xml:space="preserve"> of all poorly graded sand samples with k</t>
    </r>
    <r>
      <rPr>
        <vertAlign val="subscript"/>
        <sz val="10"/>
        <color theme="1"/>
        <rFont val="Arial"/>
        <family val="2"/>
      </rPr>
      <t>d</t>
    </r>
    <r>
      <rPr>
        <sz val="10"/>
        <color theme="1"/>
        <rFont val="Arial"/>
        <family val="2"/>
      </rPr>
      <t xml:space="preserve"> &lt; 5 (mm/hr)/Pa excluded. It is  similar to the SOP 2016 "very erodible" curve and intended to be an infrequently used upper bound.</t>
    </r>
  </si>
  <si>
    <t xml:space="preserve"> (excluding the bottom of channels or ponded areas)</t>
  </si>
  <si>
    <r>
      <t>k</t>
    </r>
    <r>
      <rPr>
        <vertAlign val="subscript"/>
        <sz val="11"/>
        <color theme="1"/>
        <rFont val="Calibri"/>
        <family val="2"/>
        <scheme val="minor"/>
      </rPr>
      <t>d</t>
    </r>
    <r>
      <rPr>
        <sz val="11"/>
        <color theme="1"/>
        <rFont val="Calibri"/>
        <family val="2"/>
        <scheme val="minor"/>
      </rPr>
      <t xml:space="preserve"> (ft/hr)/psf</t>
    </r>
  </si>
  <si>
    <t>Side Slopes- Set to 0.</t>
  </si>
  <si>
    <t>Breach Weir Coefficient-set to 2.0</t>
  </si>
  <si>
    <t>Erosion Rates for Both Downcutting and Widening Relationships for each Breach Location</t>
  </si>
  <si>
    <t>Failure Mode- Piping will be used for FFRD.</t>
  </si>
  <si>
    <r>
      <rPr>
        <b/>
        <sz val="10"/>
        <color theme="1"/>
        <rFont val="Arial"/>
        <family val="2"/>
      </rPr>
      <t>Very 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silty sand samples in the database with k</t>
    </r>
    <r>
      <rPr>
        <vertAlign val="subscript"/>
        <sz val="10"/>
        <color theme="1"/>
        <rFont val="Arial"/>
        <family val="2"/>
      </rPr>
      <t>d</t>
    </r>
    <r>
      <rPr>
        <sz val="10"/>
        <color theme="1"/>
        <rFont val="Arial"/>
        <family val="2"/>
      </rPr>
      <t xml:space="preserve"> &lt; 5 (mm/hr)/Pa excluded. The curve is similar to the 2016 SOP "erodible" curve and is similiar to mean k</t>
    </r>
    <r>
      <rPr>
        <vertAlign val="subscript"/>
        <sz val="10"/>
        <color theme="1"/>
        <rFont val="Arial"/>
        <family val="2"/>
      </rPr>
      <t>d</t>
    </r>
    <r>
      <rPr>
        <sz val="10"/>
        <color theme="1"/>
        <rFont val="Arial"/>
        <family val="2"/>
      </rPr>
      <t xml:space="preserve"> values for embankment samples of silt and silty sand in the database.</t>
    </r>
  </si>
  <si>
    <t xml:space="preserve"> V (ft/s)</t>
  </si>
  <si>
    <t>dW/dt (ft/hr)</t>
  </si>
  <si>
    <t>If Piping:</t>
  </si>
  <si>
    <t>Piping Coefficient- leave as the default.</t>
  </si>
  <si>
    <r>
      <rPr>
        <b/>
        <sz val="10"/>
        <color theme="1"/>
        <rFont val="Arial"/>
        <family val="2"/>
      </rPr>
      <t>Erodible</t>
    </r>
    <r>
      <rPr>
        <sz val="10"/>
        <color theme="1"/>
        <rFont val="Arial"/>
        <family val="2"/>
      </rPr>
      <t xml:space="preserve"> curve uses a k</t>
    </r>
    <r>
      <rPr>
        <vertAlign val="subscript"/>
        <sz val="10"/>
        <color theme="1"/>
        <rFont val="Arial"/>
        <family val="2"/>
      </rPr>
      <t>d</t>
    </r>
    <r>
      <rPr>
        <sz val="10"/>
        <color theme="1"/>
        <rFont val="Arial"/>
        <family val="2"/>
      </rPr>
      <t xml:space="preserve"> value slightly less than the median k</t>
    </r>
    <r>
      <rPr>
        <vertAlign val="subscript"/>
        <sz val="10"/>
        <color theme="1"/>
        <rFont val="Arial"/>
        <family val="2"/>
      </rPr>
      <t>d</t>
    </r>
    <r>
      <rPr>
        <sz val="10"/>
        <color theme="1"/>
        <rFont val="Arial"/>
        <family val="2"/>
      </rPr>
      <t xml:space="preserve"> of all silt samples in the database, where values with k</t>
    </r>
    <r>
      <rPr>
        <vertAlign val="subscript"/>
        <sz val="10"/>
        <color theme="1"/>
        <rFont val="Arial"/>
        <family val="2"/>
      </rPr>
      <t>d</t>
    </r>
    <r>
      <rPr>
        <sz val="10"/>
        <color theme="1"/>
        <rFont val="Arial"/>
        <family val="2"/>
      </rPr>
      <t xml:space="preserve"> &lt; 5 (mm/hr)/Pa are excluded. It is an intermediate curve located between the proposed "very erodible" and "moderately resistant" curves that is slightly higher than the previous "moderately resistant" curve. It provides good agreement with the mean k</t>
    </r>
    <r>
      <rPr>
        <vertAlign val="subscript"/>
        <sz val="10"/>
        <color theme="1"/>
        <rFont val="Arial"/>
        <family val="2"/>
      </rPr>
      <t>d</t>
    </r>
    <r>
      <rPr>
        <sz val="10"/>
        <color theme="1"/>
        <rFont val="Arial"/>
        <family val="2"/>
      </rPr>
      <t xml:space="preserve"> values for clayey sand, clayey sand with silty sand, and well graded sand with silty sand embankment materials in the database.</t>
    </r>
  </si>
  <si>
    <t>Initial Piping Elevation- use landside toe elevation.</t>
  </si>
  <si>
    <t>Initial piping Diameter- use the default.</t>
  </si>
  <si>
    <t>If Overtopping- no additional parameters needed.</t>
  </si>
  <si>
    <r>
      <rPr>
        <b/>
        <sz val="10"/>
        <color theme="1"/>
        <rFont val="Arial"/>
        <family val="2"/>
      </rPr>
      <t xml:space="preserve">Moderately Resistant </t>
    </r>
    <r>
      <rPr>
        <sz val="10"/>
        <color theme="1"/>
        <rFont val="Arial"/>
        <family val="2"/>
      </rPr>
      <t>curve uses a k</t>
    </r>
    <r>
      <rPr>
        <vertAlign val="subscript"/>
        <sz val="10"/>
        <color theme="1"/>
        <rFont val="Arial"/>
        <family val="2"/>
      </rPr>
      <t>d</t>
    </r>
    <r>
      <rPr>
        <sz val="10"/>
        <color theme="1"/>
        <rFont val="Arial"/>
        <family val="2"/>
      </rPr>
      <t xml:space="preserve"> value slightly higher than the median k</t>
    </r>
    <r>
      <rPr>
        <vertAlign val="subscript"/>
        <sz val="10"/>
        <color theme="1"/>
        <rFont val="Arial"/>
        <family val="2"/>
      </rPr>
      <t>d</t>
    </r>
    <r>
      <rPr>
        <sz val="10"/>
        <color theme="1"/>
        <rFont val="Arial"/>
        <family val="2"/>
      </rPr>
      <t xml:space="preserve"> of all lean clay, esastic silt, and fat clay samples in the database . The curve is lower than previous "moderately resistant" curves and provides better agreement with the data for these materials. However, as this curve will allow very limited erodibility, this curve is intended to be an infrequently used lower bound for MMC production efforts. Higher level studies may consider use of this or a similar parameter after thoroughly assessing soil type and construction methods for possible flaws. Consideration should be given on swaying the risk calculation with consequences from a breach that is not fully developed combined with low probability of failure.</t>
    </r>
  </si>
  <si>
    <t>Notes:</t>
  </si>
  <si>
    <t>Direct historic breach information for the embankment being studied, if available, is considered the most accurate estimate of hypothetical future levee breach parameters. If historic breach parameters are available, the simplified physical inputs should be adjusted manually in order to match the historic information as a calibration step.</t>
  </si>
  <si>
    <t>References</t>
  </si>
  <si>
    <t>Report Number: ERDC/GSL TR-22-8  Title: Calculation of Levee-Breach Widening Rates</t>
  </si>
  <si>
    <t xml:space="preserve">http://dx.doi.org/10.21079/11681/44163 </t>
  </si>
  <si>
    <t>National Levee Database</t>
  </si>
  <si>
    <t xml:space="preserve">https://levees.sec.usace.army.mil/#/ </t>
  </si>
  <si>
    <t>USACE-Levee Screening Tool (LST)</t>
  </si>
  <si>
    <t xml:space="preserve">https://lst.sec.usace.army.mil/ords/f?p=480:101:48761944847::::: </t>
  </si>
  <si>
    <t xml:space="preserve">TAMU Database </t>
  </si>
  <si>
    <t>NCHRP Research Report 915: Relationship Between Erodibility and Properties of Soils</t>
  </si>
  <si>
    <t>http://www.trb.org/Main/Blurbs/179128.aspx</t>
  </si>
  <si>
    <t>Accompanying Database:</t>
  </si>
  <si>
    <t>http://onlinepubs.trb.org/onlinepubs/nchrp/nchrp_rpt_915NCHRPErosion.xlsm</t>
  </si>
  <si>
    <t>MMC SOP</t>
  </si>
  <si>
    <t xml:space="preserve">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
  </si>
  <si>
    <t>Historic Breach Data</t>
  </si>
  <si>
    <t xml:space="preserve">https://damfailures.org/case-study/columbia-river-levees-at-vanport-oregon-1948/ </t>
  </si>
  <si>
    <t xml:space="preserve"> </t>
  </si>
  <si>
    <t>https://ascelibrary.org/doi/10.1061/%28ASCE%291090-0241%282008%29134%3A5%28668%29</t>
  </si>
  <si>
    <t xml:space="preserve">https://cedb.asce.org/CEDBsearch/records.jsp?terms=Levees%20and%20dikes&amp;&amp;start=120 </t>
  </si>
  <si>
    <t xml:space="preserve">https://eng-resources.uncc.edu/failurecasestudies/dam-failure-cases/new-orleans-hurricane-katrina-levee-failures/ </t>
  </si>
  <si>
    <t xml:space="preserve">https://ascelibrary.org/doi/full/10.1061/%28ASCE%290733-9429%282008%29134%3A11%281547%29 </t>
  </si>
  <si>
    <t xml:space="preserve">https://www.e3s-conferences.org/articles/e3sconf/abs/2016/02/e3sconf_flood2016_03002/e3sconf_flood2016_03002.html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</si>
</sst>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
    <numFmt numFmtId="166" formatCode="#,##0.000"/>
  </numFmts>
  <fonts count="14" x14ac:knownFonts="1">
    <font>
      <sz val="11"/>
      <color theme="1"/>
      <name val="Calibri"/>
      <family val="2"/>
      <scheme val="minor"/>
    </font>
    <font>
      <b/>
      <sz val="11"/>
      <color theme="1"/>
      <name val="Calibri"/>
      <family val="2"/>
      <scheme val="minor"/>
    </font>
    <font>
      <sz val="11"/>
      <name val="Calibri"/>
      <family val="2"/>
      <scheme val="minor"/>
    </font>
    <font>
      <sz val="10"/>
      <color theme="1"/>
      <name val="Arial"/>
      <family val="2"/>
    </font>
    <font>
      <sz val="11"/>
      <color theme="1"/>
      <name val="Calibri"/>
      <family val="2"/>
      <scheme val="minor"/>
    </font>
    <font>
      <b/>
      <sz val="16"/>
      <color theme="1"/>
      <name val="Calibri"/>
      <family val="2"/>
      <scheme val="minor"/>
    </font>
    <font>
      <sz val="8"/>
      <name val="Calibri"/>
      <family val="2"/>
      <scheme val="minor"/>
    </font>
    <font>
      <vertAlign val="subscript"/>
      <sz val="11"/>
      <color theme="1"/>
      <name val="Calibri"/>
      <family val="2"/>
      <scheme val="minor"/>
    </font>
    <font>
      <u/>
      <sz val="11"/>
      <color theme="10"/>
      <name val="Calibri"/>
      <family val="2"/>
      <scheme val="minor"/>
    </font>
    <font>
      <sz val="14"/>
      <color theme="1"/>
      <name val="Calibri"/>
      <family val="2"/>
    </font>
    <font>
      <sz val="12"/>
      <color theme="1"/>
      <name val="Calibri"/>
      <family val="2"/>
      <scheme val="minor"/>
    </font>
    <font>
      <vertAlign val="superscript"/>
      <sz val="11"/>
      <color theme="1"/>
      <name val="Calibri"/>
      <family val="2"/>
      <scheme val="minor"/>
    </font>
    <font>
      <b/>
      <sz val="10"/>
      <color theme="1"/>
      <name val="Arial"/>
      <family val="2"/>
    </font>
    <font>
      <vertAlign val="subscript"/>
      <sz val="10"/>
      <color theme="1"/>
      <name val="Arial"/>
      <family val="2"/>
    </font>
  </fonts>
  <fills count="7">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92D050"/>
        <bgColor indexed="64"/>
      </patternFill>
    </fill>
  </fills>
  <borders count="24">
    <border>
      <left/>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s>
  <cellStyleXfs count="3">
    <xf numFmtId="0" fontId="0" fillId="0" borderId="0"/>
    <xf numFmtId="0" fontId="3" fillId="0" borderId="0"/>
    <xf numFmtId="0" fontId="8" fillId="0" borderId="0" applyNumberFormat="0" applyFill="0" applyBorder="0" applyAlignment="0" applyProtection="0"/>
  </cellStyleXfs>
  <cellXfs count="99">
    <xf numFmtId="0" fontId="0" fillId="0" borderId="0" xfId="0"/>
    <xf numFmtId="0" fontId="0" fillId="0" borderId="10" xfId="0" applyBorder="1"/>
    <xf numFmtId="0" fontId="0" fillId="0" borderId="11" xfId="0" applyBorder="1"/>
    <xf numFmtId="0" fontId="0" fillId="0" borderId="12" xfId="0" applyBorder="1"/>
    <xf numFmtId="0" fontId="0" fillId="3" borderId="0" xfId="0" applyFill="1"/>
    <xf numFmtId="0" fontId="1" fillId="3" borderId="0" xfId="0" applyFont="1" applyFill="1"/>
    <xf numFmtId="0" fontId="0" fillId="3" borderId="0" xfId="0" applyFill="1" applyAlignment="1">
      <alignment horizontal="center"/>
    </xf>
    <xf numFmtId="3" fontId="0" fillId="3" borderId="0" xfId="0" applyNumberFormat="1" applyFill="1" applyAlignment="1">
      <alignment horizontal="center"/>
    </xf>
    <xf numFmtId="0" fontId="0" fillId="3" borderId="5" xfId="0" applyFill="1" applyBorder="1"/>
    <xf numFmtId="2" fontId="0" fillId="3" borderId="0" xfId="0" applyNumberFormat="1" applyFill="1" applyAlignment="1">
      <alignment horizontal="center"/>
    </xf>
    <xf numFmtId="0" fontId="1" fillId="3" borderId="5" xfId="0" applyFont="1" applyFill="1" applyBorder="1"/>
    <xf numFmtId="0" fontId="0" fillId="3" borderId="6" xfId="0" applyFill="1" applyBorder="1"/>
    <xf numFmtId="0" fontId="1" fillId="3" borderId="8" xfId="0" applyFont="1" applyFill="1" applyBorder="1"/>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8" xfId="0" applyFill="1" applyBorder="1"/>
    <xf numFmtId="0" fontId="0" fillId="3" borderId="9" xfId="0" applyFill="1" applyBorder="1"/>
    <xf numFmtId="0" fontId="0" fillId="3" borderId="13" xfId="0" applyFill="1" applyBorder="1" applyAlignment="1">
      <alignment horizontal="center"/>
    </xf>
    <xf numFmtId="0" fontId="0" fillId="3" borderId="14" xfId="0" applyFill="1" applyBorder="1" applyAlignment="1">
      <alignment horizontal="center"/>
    </xf>
    <xf numFmtId="0" fontId="0" fillId="3" borderId="15" xfId="0" applyFill="1" applyBorder="1" applyAlignment="1">
      <alignment horizontal="center"/>
    </xf>
    <xf numFmtId="0" fontId="0" fillId="5" borderId="0" xfId="0" applyFill="1" applyAlignment="1">
      <alignment horizontal="center"/>
    </xf>
    <xf numFmtId="0" fontId="0" fillId="5" borderId="6" xfId="0" applyFill="1" applyBorder="1" applyAlignment="1">
      <alignment horizontal="center"/>
    </xf>
    <xf numFmtId="166" fontId="0" fillId="5" borderId="0" xfId="0" applyNumberFormat="1" applyFill="1" applyAlignment="1">
      <alignment horizontal="center"/>
    </xf>
    <xf numFmtId="165" fontId="0" fillId="5" borderId="0" xfId="0" applyNumberFormat="1" applyFill="1" applyAlignment="1">
      <alignment horizontal="center"/>
    </xf>
    <xf numFmtId="165" fontId="2" fillId="5" borderId="6" xfId="0" applyNumberFormat="1" applyFont="1" applyFill="1" applyBorder="1" applyAlignment="1">
      <alignment horizontal="center"/>
    </xf>
    <xf numFmtId="0" fontId="5" fillId="3" borderId="0" xfId="0" applyFont="1" applyFill="1"/>
    <xf numFmtId="0" fontId="0" fillId="3" borderId="7" xfId="0" applyFill="1" applyBorder="1"/>
    <xf numFmtId="0" fontId="0" fillId="3" borderId="17" xfId="0" applyFill="1" applyBorder="1"/>
    <xf numFmtId="0" fontId="0" fillId="3" borderId="16" xfId="0" applyFill="1" applyBorder="1"/>
    <xf numFmtId="0" fontId="0" fillId="3" borderId="18" xfId="0" applyFill="1" applyBorder="1"/>
    <xf numFmtId="166" fontId="0" fillId="5" borderId="8" xfId="0" applyNumberFormat="1" applyFill="1" applyBorder="1" applyAlignment="1">
      <alignment horizontal="center"/>
    </xf>
    <xf numFmtId="165" fontId="0" fillId="5" borderId="8" xfId="0" applyNumberFormat="1" applyFill="1" applyBorder="1" applyAlignment="1">
      <alignment horizontal="center"/>
    </xf>
    <xf numFmtId="165" fontId="2" fillId="5" borderId="9" xfId="0" applyNumberFormat="1" applyFont="1" applyFill="1" applyBorder="1" applyAlignment="1">
      <alignment horizontal="center"/>
    </xf>
    <xf numFmtId="0" fontId="0" fillId="4" borderId="0" xfId="0" applyFill="1" applyAlignment="1">
      <alignment horizontal="center"/>
    </xf>
    <xf numFmtId="0" fontId="0" fillId="4" borderId="6" xfId="0" applyFill="1" applyBorder="1" applyAlignment="1">
      <alignment horizontal="center"/>
    </xf>
    <xf numFmtId="0" fontId="3" fillId="2" borderId="0" xfId="1" applyFill="1" applyAlignment="1">
      <alignment horizontal="center"/>
    </xf>
    <xf numFmtId="0" fontId="3" fillId="2" borderId="6" xfId="1" applyFill="1" applyBorder="1" applyAlignment="1">
      <alignment horizontal="center"/>
    </xf>
    <xf numFmtId="164" fontId="0" fillId="3" borderId="0" xfId="0" applyNumberFormat="1" applyFill="1" applyAlignment="1">
      <alignment horizontal="center"/>
    </xf>
    <xf numFmtId="164" fontId="0" fillId="3" borderId="6" xfId="0" applyNumberFormat="1" applyFill="1" applyBorder="1" applyAlignment="1">
      <alignment horizontal="center"/>
    </xf>
    <xf numFmtId="0" fontId="0" fillId="3" borderId="6" xfId="0" applyFill="1" applyBorder="1" applyAlignment="1">
      <alignment horizontal="center"/>
    </xf>
    <xf numFmtId="2" fontId="0" fillId="3" borderId="8" xfId="0" applyNumberFormat="1" applyFill="1" applyBorder="1" applyAlignment="1">
      <alignment horizontal="center"/>
    </xf>
    <xf numFmtId="2" fontId="0" fillId="3" borderId="9" xfId="0" applyNumberFormat="1" applyFill="1" applyBorder="1" applyAlignment="1">
      <alignment horizontal="center"/>
    </xf>
    <xf numFmtId="0" fontId="8" fillId="3" borderId="0" xfId="2" applyFill="1" applyBorder="1"/>
    <xf numFmtId="0" fontId="0" fillId="2" borderId="0" xfId="0" applyFill="1"/>
    <xf numFmtId="0" fontId="1" fillId="0" borderId="2" xfId="0" applyFont="1" applyBorder="1"/>
    <xf numFmtId="0" fontId="0" fillId="3" borderId="13" xfId="0" applyFill="1" applyBorder="1"/>
    <xf numFmtId="0" fontId="0" fillId="3" borderId="14" xfId="0" applyFill="1" applyBorder="1"/>
    <xf numFmtId="0" fontId="0" fillId="3" borderId="15" xfId="0" applyFill="1" applyBorder="1"/>
    <xf numFmtId="0" fontId="0" fillId="5" borderId="14" xfId="0" applyFill="1" applyBorder="1" applyAlignment="1">
      <alignment horizontal="center"/>
    </xf>
    <xf numFmtId="0" fontId="0" fillId="5" borderId="15" xfId="0" applyFill="1" applyBorder="1" applyAlignment="1">
      <alignment horizontal="center"/>
    </xf>
    <xf numFmtId="0" fontId="1" fillId="3" borderId="2" xfId="0" applyFont="1" applyFill="1" applyBorder="1" applyAlignment="1">
      <alignment horizontal="center"/>
    </xf>
    <xf numFmtId="0" fontId="1" fillId="3" borderId="4" xfId="0" applyFont="1" applyFill="1" applyBorder="1" applyAlignment="1">
      <alignment horizontal="center"/>
    </xf>
    <xf numFmtId="0" fontId="0" fillId="3" borderId="17" xfId="0" applyFill="1" applyBorder="1" applyAlignment="1">
      <alignment horizontal="center"/>
    </xf>
    <xf numFmtId="0" fontId="0" fillId="3" borderId="16" xfId="0" applyFill="1" applyBorder="1" applyAlignment="1">
      <alignment horizontal="center"/>
    </xf>
    <xf numFmtId="0" fontId="0" fillId="3" borderId="18" xfId="0" applyFill="1" applyBorder="1" applyAlignment="1">
      <alignment horizontal="center"/>
    </xf>
    <xf numFmtId="0" fontId="0" fillId="3" borderId="0" xfId="0" applyFill="1" applyAlignment="1">
      <alignment vertical="center"/>
    </xf>
    <xf numFmtId="0" fontId="8" fillId="3" borderId="0" xfId="2" applyFill="1" applyAlignment="1">
      <alignment vertical="center"/>
    </xf>
    <xf numFmtId="0" fontId="0" fillId="3" borderId="0" xfId="0" applyFill="1" applyAlignment="1">
      <alignment wrapText="1"/>
    </xf>
    <xf numFmtId="0" fontId="0" fillId="3" borderId="1" xfId="0" applyFill="1" applyBorder="1" applyAlignment="1">
      <alignment wrapText="1"/>
    </xf>
    <xf numFmtId="0" fontId="0" fillId="4" borderId="0" xfId="0" applyFill="1"/>
    <xf numFmtId="0" fontId="0" fillId="5" borderId="8" xfId="0" applyFill="1" applyBorder="1"/>
    <xf numFmtId="0" fontId="1" fillId="3" borderId="3" xfId="0" applyFont="1" applyFill="1" applyBorder="1" applyAlignment="1">
      <alignment horizontal="center"/>
    </xf>
    <xf numFmtId="2" fontId="0" fillId="3" borderId="20" xfId="0" applyNumberFormat="1" applyFill="1" applyBorder="1"/>
    <xf numFmtId="2" fontId="0" fillId="3" borderId="21" xfId="0" applyNumberFormat="1" applyFill="1" applyBorder="1"/>
    <xf numFmtId="0" fontId="0" fillId="3" borderId="22" xfId="0" applyFill="1" applyBorder="1"/>
    <xf numFmtId="0" fontId="0" fillId="3" borderId="19" xfId="0" applyFill="1" applyBorder="1"/>
    <xf numFmtId="0" fontId="0" fillId="3" borderId="23" xfId="0" applyFill="1" applyBorder="1"/>
    <xf numFmtId="0" fontId="0" fillId="3" borderId="11" xfId="0" applyFill="1" applyBorder="1"/>
    <xf numFmtId="0" fontId="0" fillId="3" borderId="12" xfId="0" applyFill="1" applyBorder="1"/>
    <xf numFmtId="0" fontId="12" fillId="6" borderId="2" xfId="0" applyFont="1" applyFill="1" applyBorder="1"/>
    <xf numFmtId="0" fontId="3" fillId="6" borderId="3" xfId="0" applyFont="1" applyFill="1" applyBorder="1"/>
    <xf numFmtId="0" fontId="3" fillId="6" borderId="4" xfId="0" applyFont="1" applyFill="1" applyBorder="1"/>
    <xf numFmtId="0" fontId="3" fillId="3" borderId="0" xfId="0" applyFont="1" applyFill="1"/>
    <xf numFmtId="0" fontId="3" fillId="3" borderId="0" xfId="0" applyFont="1" applyFill="1" applyAlignment="1">
      <alignment vertical="top" wrapText="1"/>
    </xf>
    <xf numFmtId="0" fontId="8" fillId="3" borderId="0" xfId="2" applyFill="1"/>
    <xf numFmtId="0" fontId="8" fillId="0" borderId="0" xfId="2"/>
    <xf numFmtId="0" fontId="3" fillId="3" borderId="2" xfId="0" applyFont="1" applyFill="1" applyBorder="1" applyAlignment="1">
      <alignment vertical="top" wrapText="1"/>
    </xf>
    <xf numFmtId="0" fontId="3" fillId="3" borderId="3" xfId="0" applyFont="1" applyFill="1" applyBorder="1" applyAlignment="1">
      <alignment vertical="top" wrapText="1"/>
    </xf>
    <xf numFmtId="0" fontId="3" fillId="3" borderId="4" xfId="0" applyFont="1" applyFill="1" applyBorder="1" applyAlignment="1">
      <alignment vertical="top" wrapText="1"/>
    </xf>
    <xf numFmtId="0" fontId="3" fillId="3" borderId="5" xfId="0" applyFont="1" applyFill="1" applyBorder="1" applyAlignment="1">
      <alignment vertical="top" wrapText="1"/>
    </xf>
    <xf numFmtId="0" fontId="3" fillId="3" borderId="0" xfId="0" applyFont="1" applyFill="1" applyAlignment="1">
      <alignment vertical="top" wrapText="1"/>
    </xf>
    <xf numFmtId="0" fontId="3" fillId="3" borderId="6" xfId="0" applyFont="1" applyFill="1" applyBorder="1" applyAlignment="1">
      <alignment vertical="top" wrapText="1"/>
    </xf>
    <xf numFmtId="0" fontId="3" fillId="3" borderId="7" xfId="0" applyFont="1" applyFill="1" applyBorder="1" applyAlignment="1">
      <alignment vertical="top" wrapText="1"/>
    </xf>
    <xf numFmtId="0" fontId="3" fillId="3" borderId="8" xfId="0" applyFont="1" applyFill="1" applyBorder="1" applyAlignment="1">
      <alignment vertical="top" wrapText="1"/>
    </xf>
    <xf numFmtId="0" fontId="3" fillId="3" borderId="9" xfId="0" applyFont="1" applyFill="1" applyBorder="1" applyAlignment="1">
      <alignment vertical="top" wrapText="1"/>
    </xf>
    <xf numFmtId="0" fontId="4" fillId="0" borderId="5" xfId="1" applyFont="1" applyBorder="1" applyAlignment="1">
      <alignment horizontal="left" vertical="top" wrapText="1"/>
    </xf>
    <xf numFmtId="0" fontId="4" fillId="0" borderId="0" xfId="1" applyFont="1" applyAlignment="1">
      <alignment horizontal="left" vertical="top" wrapText="1"/>
    </xf>
    <xf numFmtId="0" fontId="4" fillId="0" borderId="6" xfId="1" applyFont="1" applyBorder="1" applyAlignment="1">
      <alignment horizontal="left" vertical="top" wrapText="1"/>
    </xf>
    <xf numFmtId="0" fontId="4" fillId="0" borderId="7" xfId="1" applyFont="1" applyBorder="1" applyAlignment="1">
      <alignment horizontal="left" vertical="top" wrapText="1"/>
    </xf>
    <xf numFmtId="0" fontId="4" fillId="0" borderId="8" xfId="1" applyFont="1" applyBorder="1" applyAlignment="1">
      <alignment horizontal="left" vertical="top" wrapText="1"/>
    </xf>
    <xf numFmtId="0" fontId="4" fillId="0" borderId="9" xfId="1" applyFont="1" applyBorder="1" applyAlignment="1">
      <alignment horizontal="left" vertical="top" wrapText="1"/>
    </xf>
    <xf numFmtId="0" fontId="0" fillId="3" borderId="5" xfId="0" applyFill="1" applyBorder="1" applyAlignment="1">
      <alignment horizontal="left" vertical="top" wrapText="1"/>
    </xf>
    <xf numFmtId="0" fontId="0" fillId="3" borderId="0" xfId="0" applyFill="1" applyAlignment="1">
      <alignment horizontal="left" vertical="top" wrapText="1"/>
    </xf>
    <xf numFmtId="0" fontId="0" fillId="3" borderId="6" xfId="0" applyFill="1" applyBorder="1" applyAlignment="1">
      <alignment horizontal="left" vertical="top" wrapText="1"/>
    </xf>
    <xf numFmtId="0" fontId="8" fillId="3" borderId="0" xfId="2" applyFill="1" applyBorder="1" applyAlignment="1">
      <alignment horizontal="center" wrapText="1"/>
    </xf>
    <xf numFmtId="0" fontId="8" fillId="3" borderId="1" xfId="2" applyFill="1" applyBorder="1" applyAlignment="1">
      <alignment horizontal="center" wrapText="1"/>
    </xf>
    <xf numFmtId="0" fontId="0" fillId="3" borderId="0" xfId="0" applyFill="1" applyAlignment="1">
      <alignment horizontal="left" wrapText="1"/>
    </xf>
  </cellXfs>
  <cellStyles count="3">
    <cellStyle name="Hyperlink" xfId="2" builtinId="8"/>
    <cellStyle name="Normal" xfId="0" builtinId="0"/>
    <cellStyle name="Normal 2" xfId="1" xr:uid="{6B655383-DF3E-449F-941E-41C20B4A827C}"/>
  </cellStyles>
  <dxfs count="0"/>
  <tableStyles count="0" defaultTableStyle="TableStyleMedium2" defaultPivotStyle="PivotStyleLight16"/>
  <colors>
    <mruColors>
      <color rgb="FFFF99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708557140416613E-2"/>
          <c:y val="1.348684744771732E-2"/>
          <c:w val="0.91541401259753774"/>
          <c:h val="0.88945630552864674"/>
        </c:manualLayout>
      </c:layout>
      <c:scatterChart>
        <c:scatterStyle val="lineMarker"/>
        <c:varyColors val="0"/>
        <c:ser>
          <c:idx val="0"/>
          <c:order val="0"/>
          <c:tx>
            <c:strRef>
              <c:f>'Embankment Erosion'!$C$20</c:f>
              <c:strCache>
                <c:ptCount val="1"/>
                <c:pt idx="0">
                  <c:v>Levee Name2</c:v>
                </c:pt>
              </c:strCache>
            </c:strRef>
          </c:tx>
          <c:spPr>
            <a:ln w="19050" cap="rnd">
              <a:solidFill>
                <a:schemeClr val="accent1"/>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Erosion'!$C$23:$C$34</c:f>
              <c:numCache>
                <c:formatCode>#,##0.000</c:formatCode>
                <c:ptCount val="12"/>
                <c:pt idx="0">
                  <c:v>0.14924212605029616</c:v>
                </c:pt>
                <c:pt idx="1">
                  <c:v>0.33579478361316639</c:v>
                </c:pt>
                <c:pt idx="2">
                  <c:v>0.59696850420118464</c:v>
                </c:pt>
                <c:pt idx="3">
                  <c:v>1.3431791344526656</c:v>
                </c:pt>
                <c:pt idx="4">
                  <c:v>2.3878740168047385</c:v>
                </c:pt>
                <c:pt idx="5">
                  <c:v>5.3727165378106623</c:v>
                </c:pt>
                <c:pt idx="6">
                  <c:v>9.5514960672189542</c:v>
                </c:pt>
                <c:pt idx="7">
                  <c:v>14.924212605029616</c:v>
                </c:pt>
                <c:pt idx="8">
                  <c:v>33.579478361316632</c:v>
                </c:pt>
                <c:pt idx="9">
                  <c:v>59.696850420118466</c:v>
                </c:pt>
                <c:pt idx="10">
                  <c:v>93.276328781435097</c:v>
                </c:pt>
                <c:pt idx="11">
                  <c:v>134.31791344526653</c:v>
                </c:pt>
              </c:numCache>
            </c:numRef>
          </c:yVal>
          <c:smooth val="0"/>
          <c:extLst>
            <c:ext xmlns:c16="http://schemas.microsoft.com/office/drawing/2014/chart" uri="{C3380CC4-5D6E-409C-BE32-E72D297353CC}">
              <c16:uniqueId val="{00000000-D2E5-4DC7-AB69-5ADD5427503C}"/>
            </c:ext>
          </c:extLst>
        </c:ser>
        <c:ser>
          <c:idx val="3"/>
          <c:order val="1"/>
          <c:tx>
            <c:strRef>
              <c:f>'Embankment Erosion'!$E$20</c:f>
              <c:strCache>
                <c:ptCount val="1"/>
                <c:pt idx="0">
                  <c:v>Levee Name4</c:v>
                </c:pt>
              </c:strCache>
            </c:strRef>
          </c:tx>
          <c:spPr>
            <a:ln w="19050" cap="rnd">
              <a:solidFill>
                <a:schemeClr val="accent4"/>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Erosion'!$E$23:$E$34</c:f>
              <c:numCache>
                <c:formatCode>#,##0.0</c:formatCode>
                <c:ptCount val="12"/>
                <c:pt idx="0">
                  <c:v>0.10347871070503138</c:v>
                </c:pt>
                <c:pt idx="1">
                  <c:v>0.23282709908632063</c:v>
                </c:pt>
                <c:pt idx="2">
                  <c:v>0.41391484282012553</c:v>
                </c:pt>
                <c:pt idx="3">
                  <c:v>0.93130839634528251</c:v>
                </c:pt>
                <c:pt idx="4">
                  <c:v>1.6556593712805021</c:v>
                </c:pt>
                <c:pt idx="5">
                  <c:v>3.72523358538113</c:v>
                </c:pt>
                <c:pt idx="6">
                  <c:v>6.6226374851220084</c:v>
                </c:pt>
                <c:pt idx="7">
                  <c:v>10.347871070503139</c:v>
                </c:pt>
                <c:pt idx="8">
                  <c:v>23.282709908632061</c:v>
                </c:pt>
                <c:pt idx="9">
                  <c:v>41.391484282012556</c:v>
                </c:pt>
                <c:pt idx="10">
                  <c:v>64.674194190644613</c:v>
                </c:pt>
                <c:pt idx="11">
                  <c:v>93.130839634528243</c:v>
                </c:pt>
              </c:numCache>
            </c:numRef>
          </c:yVal>
          <c:smooth val="0"/>
          <c:extLst>
            <c:ext xmlns:c16="http://schemas.microsoft.com/office/drawing/2014/chart" uri="{C3380CC4-5D6E-409C-BE32-E72D297353CC}">
              <c16:uniqueId val="{00000001-D2E5-4DC7-AB69-5ADD5427503C}"/>
            </c:ext>
          </c:extLst>
        </c:ser>
        <c:ser>
          <c:idx val="4"/>
          <c:order val="2"/>
          <c:tx>
            <c:strRef>
              <c:f>'Embankment Erosion'!$F$20</c:f>
              <c:strCache>
                <c:ptCount val="1"/>
                <c:pt idx="0">
                  <c:v>Levee Name 5</c:v>
                </c:pt>
              </c:strCache>
            </c:strRef>
          </c:tx>
          <c:spPr>
            <a:ln w="19050" cap="rnd">
              <a:solidFill>
                <a:schemeClr val="accent6">
                  <a:lumMod val="60000"/>
                  <a:lumOff val="40000"/>
                </a:schemeClr>
              </a:solidFill>
              <a:round/>
            </a:ln>
            <a:effectLst/>
          </c:spPr>
          <c:marker>
            <c:symbol val="none"/>
          </c:marker>
          <c:xVal>
            <c:numRef>
              <c:f>'Embankment Erosion'!$A$23:$A$34</c:f>
              <c:numCache>
                <c:formatCode>General</c:formatCode>
                <c:ptCount val="12"/>
                <c:pt idx="0">
                  <c:v>1</c:v>
                </c:pt>
                <c:pt idx="1">
                  <c:v>1.5</c:v>
                </c:pt>
                <c:pt idx="2">
                  <c:v>2</c:v>
                </c:pt>
                <c:pt idx="3">
                  <c:v>3</c:v>
                </c:pt>
                <c:pt idx="4">
                  <c:v>4</c:v>
                </c:pt>
                <c:pt idx="5">
                  <c:v>6</c:v>
                </c:pt>
                <c:pt idx="6">
                  <c:v>8</c:v>
                </c:pt>
                <c:pt idx="7">
                  <c:v>10</c:v>
                </c:pt>
                <c:pt idx="8">
                  <c:v>15</c:v>
                </c:pt>
                <c:pt idx="9">
                  <c:v>20</c:v>
                </c:pt>
                <c:pt idx="10">
                  <c:v>25</c:v>
                </c:pt>
                <c:pt idx="11">
                  <c:v>30</c:v>
                </c:pt>
              </c:numCache>
            </c:numRef>
          </c:xVal>
          <c:yVal>
            <c:numRef>
              <c:f>'Embankment Erosion'!$F$23:$F$34</c:f>
              <c:numCache>
                <c:formatCode>#,##0.0</c:formatCode>
                <c:ptCount val="12"/>
                <c:pt idx="0">
                  <c:v>8.7277324771933298E-2</c:v>
                </c:pt>
                <c:pt idx="1">
                  <c:v>0.19637398073684992</c:v>
                </c:pt>
                <c:pt idx="2">
                  <c:v>0.34910929908773319</c:v>
                </c:pt>
                <c:pt idx="3">
                  <c:v>0.78549592294739967</c:v>
                </c:pt>
                <c:pt idx="4">
                  <c:v>1.3964371963509328</c:v>
                </c:pt>
                <c:pt idx="5">
                  <c:v>3.1419836917895987</c:v>
                </c:pt>
                <c:pt idx="6">
                  <c:v>5.5857487854037311</c:v>
                </c:pt>
                <c:pt idx="7">
                  <c:v>8.727732477193328</c:v>
                </c:pt>
                <c:pt idx="8">
                  <c:v>19.637398073684992</c:v>
                </c:pt>
                <c:pt idx="9">
                  <c:v>34.910929908773312</c:v>
                </c:pt>
                <c:pt idx="10">
                  <c:v>54.548327982458311</c:v>
                </c:pt>
                <c:pt idx="11">
                  <c:v>78.549592294739966</c:v>
                </c:pt>
              </c:numCache>
            </c:numRef>
          </c:yVal>
          <c:smooth val="0"/>
          <c:extLst>
            <c:ext xmlns:c16="http://schemas.microsoft.com/office/drawing/2014/chart" uri="{C3380CC4-5D6E-409C-BE32-E72D297353CC}">
              <c16:uniqueId val="{00000002-D2E5-4DC7-AB69-5ADD5427503C}"/>
            </c:ext>
          </c:extLst>
        </c:ser>
        <c:ser>
          <c:idx val="1"/>
          <c:order val="3"/>
          <c:tx>
            <c:strRef>
              <c:f>'Embankment Erosion'!$D$20</c:f>
              <c:strCache>
                <c:ptCount val="1"/>
                <c:pt idx="0">
                  <c:v>Levee Name 3</c:v>
                </c:pt>
              </c:strCache>
            </c:strRef>
          </c:tx>
          <c:spPr>
            <a:ln w="19050" cap="rnd">
              <a:solidFill>
                <a:schemeClr val="accent2"/>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Erosion'!$D$22:$D$34</c:f>
              <c:numCache>
                <c:formatCode>#,##0.000</c:formatCode>
                <c:ptCount val="13"/>
                <c:pt idx="0" formatCode="General">
                  <c:v>0</c:v>
                </c:pt>
                <c:pt idx="1">
                  <c:v>2.3690710789021074</c:v>
                </c:pt>
                <c:pt idx="2">
                  <c:v>5.3304099275297414</c:v>
                </c:pt>
                <c:pt idx="3">
                  <c:v>9.4762843156084298</c:v>
                </c:pt>
                <c:pt idx="4">
                  <c:v>21.321639710118966</c:v>
                </c:pt>
                <c:pt idx="5">
                  <c:v>37.905137262433719</c:v>
                </c:pt>
                <c:pt idx="6">
                  <c:v>85.286558840475863</c:v>
                </c:pt>
                <c:pt idx="7">
                  <c:v>151.62054904973488</c:v>
                </c:pt>
                <c:pt idx="8">
                  <c:v>236.90710789021074</c:v>
                </c:pt>
                <c:pt idx="9">
                  <c:v>533.04099275297415</c:v>
                </c:pt>
                <c:pt idx="10">
                  <c:v>947.62843156084296</c:v>
                </c:pt>
                <c:pt idx="11">
                  <c:v>1480.669424313817</c:v>
                </c:pt>
                <c:pt idx="12">
                  <c:v>2132.1639710118966</c:v>
                </c:pt>
              </c:numCache>
            </c:numRef>
          </c:yVal>
          <c:smooth val="0"/>
          <c:extLst>
            <c:ext xmlns:c16="http://schemas.microsoft.com/office/drawing/2014/chart" uri="{C3380CC4-5D6E-409C-BE32-E72D297353CC}">
              <c16:uniqueId val="{00000006-D2E5-4DC7-AB69-5ADD5427503C}"/>
            </c:ext>
          </c:extLst>
        </c:ser>
        <c:ser>
          <c:idx val="2"/>
          <c:order val="4"/>
          <c:tx>
            <c:strRef>
              <c:f>'Embankment Erosion'!$B$20</c:f>
              <c:strCache>
                <c:ptCount val="1"/>
                <c:pt idx="0">
                  <c:v>Levee Name</c:v>
                </c:pt>
              </c:strCache>
            </c:strRef>
          </c:tx>
          <c:spPr>
            <a:ln w="19050" cap="rnd">
              <a:solidFill>
                <a:schemeClr val="accent3"/>
              </a:solidFill>
              <a:round/>
            </a:ln>
            <a:effectLst/>
          </c:spPr>
          <c:marker>
            <c:symbol val="none"/>
          </c:marker>
          <c:xVal>
            <c:numRef>
              <c:f>'Embankment Erosion'!$A$22:$A$34</c:f>
              <c:numCache>
                <c:formatCode>General</c:formatCode>
                <c:ptCount val="13"/>
                <c:pt idx="0">
                  <c:v>0</c:v>
                </c:pt>
                <c:pt idx="1">
                  <c:v>1</c:v>
                </c:pt>
                <c:pt idx="2">
                  <c:v>1.5</c:v>
                </c:pt>
                <c:pt idx="3">
                  <c:v>2</c:v>
                </c:pt>
                <c:pt idx="4">
                  <c:v>3</c:v>
                </c:pt>
                <c:pt idx="5">
                  <c:v>4</c:v>
                </c:pt>
                <c:pt idx="6">
                  <c:v>6</c:v>
                </c:pt>
                <c:pt idx="7">
                  <c:v>8</c:v>
                </c:pt>
                <c:pt idx="8">
                  <c:v>10</c:v>
                </c:pt>
                <c:pt idx="9">
                  <c:v>15</c:v>
                </c:pt>
                <c:pt idx="10">
                  <c:v>20</c:v>
                </c:pt>
                <c:pt idx="11">
                  <c:v>25</c:v>
                </c:pt>
                <c:pt idx="12">
                  <c:v>30</c:v>
                </c:pt>
              </c:numCache>
            </c:numRef>
          </c:xVal>
          <c:yVal>
            <c:numRef>
              <c:f>'Embankment Erosion'!$B$22:$B$34</c:f>
              <c:numCache>
                <c:formatCode>#,##0.000</c:formatCode>
                <c:ptCount val="13"/>
                <c:pt idx="0" formatCode="General">
                  <c:v>0</c:v>
                </c:pt>
                <c:pt idx="1">
                  <c:v>0.20255272804450075</c:v>
                </c:pt>
                <c:pt idx="2">
                  <c:v>0.45574363810012669</c:v>
                </c:pt>
                <c:pt idx="3">
                  <c:v>0.81021091217800301</c:v>
                </c:pt>
                <c:pt idx="4">
                  <c:v>1.8229745524005068</c:v>
                </c:pt>
                <c:pt idx="5">
                  <c:v>3.240843648712012</c:v>
                </c:pt>
                <c:pt idx="6">
                  <c:v>7.2918982096020271</c:v>
                </c:pt>
                <c:pt idx="7">
                  <c:v>12.963374594848048</c:v>
                </c:pt>
                <c:pt idx="8">
                  <c:v>20.255272804450076</c:v>
                </c:pt>
                <c:pt idx="9">
                  <c:v>45.57436381001267</c:v>
                </c:pt>
                <c:pt idx="10">
                  <c:v>81.021091217800304</c:v>
                </c:pt>
                <c:pt idx="11">
                  <c:v>126.59545502781297</c:v>
                </c:pt>
                <c:pt idx="12">
                  <c:v>182.29745524005068</c:v>
                </c:pt>
              </c:numCache>
            </c:numRef>
          </c:yVal>
          <c:smooth val="0"/>
          <c:extLst>
            <c:ext xmlns:c16="http://schemas.microsoft.com/office/drawing/2014/chart" uri="{C3380CC4-5D6E-409C-BE32-E72D297353CC}">
              <c16:uniqueId val="{00000007-D2E5-4DC7-AB69-5ADD5427503C}"/>
            </c:ext>
          </c:extLst>
        </c:ser>
        <c:dLbls>
          <c:showLegendKey val="0"/>
          <c:showVal val="0"/>
          <c:showCatName val="0"/>
          <c:showSerName val="0"/>
          <c:showPercent val="0"/>
          <c:showBubbleSize val="0"/>
        </c:dLbls>
        <c:axId val="690562799"/>
        <c:axId val="756190335"/>
      </c:scatterChart>
      <c:valAx>
        <c:axId val="690562799"/>
        <c:scaling>
          <c:orientation val="minMax"/>
          <c:max val="3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Velocity (ft/s)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6190335"/>
        <c:crosses val="autoZero"/>
        <c:crossBetween val="midCat"/>
      </c:valAx>
      <c:valAx>
        <c:axId val="756190335"/>
        <c:scaling>
          <c:orientation val="minMax"/>
          <c:max val="20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Erosion Rate (ft/hr)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0562799"/>
        <c:crosses val="autoZero"/>
        <c:crossBetween val="midCat"/>
      </c:valAx>
      <c:spPr>
        <a:noFill/>
        <a:ln>
          <a:noFill/>
        </a:ln>
        <a:effectLst/>
      </c:spPr>
    </c:plotArea>
    <c:legend>
      <c:legendPos val="b"/>
      <c:layout>
        <c:manualLayout>
          <c:xMode val="edge"/>
          <c:yMode val="edge"/>
          <c:x val="9.0345940055118493E-2"/>
          <c:y val="0.10696206232853546"/>
          <c:w val="0.31408575579230746"/>
          <c:h val="0.14334536110980753"/>
        </c:manualLayout>
      </c:layout>
      <c:overlay val="0"/>
      <c:spPr>
        <a:solidFill>
          <a:schemeClr val="bg1"/>
        </a:solidFill>
        <a:ln>
          <a:solidFill>
            <a:schemeClr val="tx1"/>
          </a:solid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1_2#1">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2.xml><?xml version="1.0" encoding="utf-8"?>
<dgm:colorsDef xmlns:dgm="http://schemas.openxmlformats.org/drawingml/2006/diagram" xmlns:a="http://schemas.openxmlformats.org/drawingml/2006/main" uniqueId="urn:microsoft.com/office/officeart/2005/8/colors/accent1_2#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colors3.xml><?xml version="1.0" encoding="utf-8"?>
<dgm:colorsDef xmlns:dgm="http://schemas.openxmlformats.org/drawingml/2006/diagram" xmlns:a="http://schemas.openxmlformats.org/drawingml/2006/main" uniqueId="urn:microsoft.com/office/officeart/2005/8/colors/accent1_2#3">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1" qsCatId="simple" csTypeId="urn:microsoft.com/office/officeart/2005/8/colors/accent1_2#1"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ata2.xml><?xml version="1.0" encoding="utf-8"?>
<dgm:dataModel xmlns:dgm="http://schemas.openxmlformats.org/drawingml/2006/diagram" xmlns:a="http://schemas.openxmlformats.org/drawingml/2006/main">
  <dgm:ptLst>
    <dgm:pt modelId="{FE0589E2-50D0-4488-8169-F199CBAD1B3E}" type="doc">
      <dgm:prSet loTypeId="urn:microsoft.com/office/officeart/2005/8/layout/arrow1" loCatId="process" qsTypeId="urn:microsoft.com/office/officeart/2005/8/quickstyle/simple2#1" qsCatId="simple" csTypeId="urn:microsoft.com/office/officeart/2005/8/colors/accent1_2#2" csCatId="accent1" phldr="1"/>
      <dgm:spPr/>
      <dgm:t>
        <a:bodyPr/>
        <a:lstStyle/>
        <a:p>
          <a:endParaRPr lang="en-US"/>
        </a:p>
      </dgm:t>
    </dgm:pt>
    <dgm:pt modelId="{DDEB7884-BBB4-4F3B-BD22-D447D4207144}">
      <dgm:prSet phldrT="[Text]"/>
      <dgm:spPr/>
      <dgm:t>
        <a:bodyPr/>
        <a:lstStyle/>
        <a:p>
          <a:r>
            <a:rPr lang="en-US"/>
            <a:t>Well constructed, clays, good foundation, armoring and bank protection</a:t>
          </a:r>
        </a:p>
      </dgm:t>
    </dgm:pt>
    <dgm:pt modelId="{B1AE64E2-FB42-4402-9D93-B8DC97C734BD}" type="parTrans" cxnId="{BC41788A-1499-41BF-98EC-8B5AAFA903FC}">
      <dgm:prSet/>
      <dgm:spPr/>
      <dgm:t>
        <a:bodyPr/>
        <a:lstStyle/>
        <a:p>
          <a:endParaRPr lang="en-US"/>
        </a:p>
      </dgm:t>
    </dgm:pt>
    <dgm:pt modelId="{538BC0D8-0336-4981-AE90-F928E6249754}" type="sibTrans" cxnId="{BC41788A-1499-41BF-98EC-8B5AAFA903FC}">
      <dgm:prSet/>
      <dgm:spPr/>
      <dgm:t>
        <a:bodyPr/>
        <a:lstStyle/>
        <a:p>
          <a:endParaRPr lang="en-US"/>
        </a:p>
      </dgm:t>
    </dgm:pt>
    <dgm:pt modelId="{B4623308-B18C-4F2C-B6BB-AF517DC48CCB}">
      <dgm:prSet phldrT="[Text]"/>
      <dgm:spPr/>
      <dgm:t>
        <a:bodyPr/>
        <a:lstStyle/>
        <a:p>
          <a:r>
            <a:rPr lang="en-US"/>
            <a:t>badly constructed, sand, poor foundation, no protection</a:t>
          </a:r>
        </a:p>
      </dgm:t>
    </dgm:pt>
    <dgm:pt modelId="{84FAA928-4332-4011-8AE9-7673D8F5036B}" type="parTrans" cxnId="{8A7227DC-CFB9-4312-B249-32CB0CBD075A}">
      <dgm:prSet/>
      <dgm:spPr/>
      <dgm:t>
        <a:bodyPr/>
        <a:lstStyle/>
        <a:p>
          <a:endParaRPr lang="en-US"/>
        </a:p>
      </dgm:t>
    </dgm:pt>
    <dgm:pt modelId="{FAECCE56-D4EF-4861-BC99-064460CD7515}" type="sibTrans" cxnId="{8A7227DC-CFB9-4312-B249-32CB0CBD075A}">
      <dgm:prSet/>
      <dgm:spPr/>
      <dgm:t>
        <a:bodyPr/>
        <a:lstStyle/>
        <a:p>
          <a:endParaRPr lang="en-US"/>
        </a:p>
      </dgm:t>
    </dgm:pt>
    <dgm:pt modelId="{1BCC5B6B-0A1A-4900-9C84-EDC63B0A17F3}" type="pres">
      <dgm:prSet presAssocID="{FE0589E2-50D0-4488-8169-F199CBAD1B3E}" presName="cycle" presStyleCnt="0">
        <dgm:presLayoutVars>
          <dgm:dir/>
          <dgm:resizeHandles val="exact"/>
        </dgm:presLayoutVars>
      </dgm:prSet>
      <dgm:spPr/>
    </dgm:pt>
    <dgm:pt modelId="{142B826C-0799-46B9-9DAA-54977CCC5C8E}" type="pres">
      <dgm:prSet presAssocID="{DDEB7884-BBB4-4F3B-BD22-D447D4207144}" presName="arrow" presStyleLbl="node1" presStyleIdx="0" presStyleCnt="2" custScaleY="100067">
        <dgm:presLayoutVars>
          <dgm:bulletEnabled val="1"/>
        </dgm:presLayoutVars>
      </dgm:prSet>
      <dgm:spPr/>
    </dgm:pt>
    <dgm:pt modelId="{A55DCDA7-2289-4D60-AE87-75A4FB408E9F}" type="pres">
      <dgm:prSet presAssocID="{B4623308-B18C-4F2C-B6BB-AF517DC48CCB}" presName="arrow" presStyleLbl="node1" presStyleIdx="1" presStyleCnt="2" custScaleY="100233">
        <dgm:presLayoutVars>
          <dgm:bulletEnabled val="1"/>
        </dgm:presLayoutVars>
      </dgm:prSet>
      <dgm:spPr/>
    </dgm:pt>
  </dgm:ptLst>
  <dgm:cxnLst>
    <dgm:cxn modelId="{BC41788A-1499-41BF-98EC-8B5AAFA903FC}" srcId="{FE0589E2-50D0-4488-8169-F199CBAD1B3E}" destId="{DDEB7884-BBB4-4F3B-BD22-D447D4207144}" srcOrd="0" destOrd="0" parTransId="{B1AE64E2-FB42-4402-9D93-B8DC97C734BD}" sibTransId="{538BC0D8-0336-4981-AE90-F928E6249754}"/>
    <dgm:cxn modelId="{8A7227DC-CFB9-4312-B249-32CB0CBD075A}" srcId="{FE0589E2-50D0-4488-8169-F199CBAD1B3E}" destId="{B4623308-B18C-4F2C-B6BB-AF517DC48CCB}" srcOrd="1" destOrd="0" parTransId="{84FAA928-4332-4011-8AE9-7673D8F5036B}" sibTransId="{FAECCE56-D4EF-4861-BC99-064460CD7515}"/>
    <dgm:cxn modelId="{8AA6E8E2-F673-4ECF-9E52-87552712FA65}" type="presOf" srcId="{DDEB7884-BBB4-4F3B-BD22-D447D4207144}" destId="{142B826C-0799-46B9-9DAA-54977CCC5C8E}" srcOrd="0" destOrd="0" presId="urn:microsoft.com/office/officeart/2005/8/layout/arrow1"/>
    <dgm:cxn modelId="{6F34A4E5-39E4-464D-AFF7-2E920446A683}" type="presOf" srcId="{FE0589E2-50D0-4488-8169-F199CBAD1B3E}" destId="{1BCC5B6B-0A1A-4900-9C84-EDC63B0A17F3}" srcOrd="0" destOrd="0" presId="urn:microsoft.com/office/officeart/2005/8/layout/arrow1"/>
    <dgm:cxn modelId="{FB7E7DEE-9784-4220-A158-C1B7B6BF528B}" type="presOf" srcId="{B4623308-B18C-4F2C-B6BB-AF517DC48CCB}" destId="{A55DCDA7-2289-4D60-AE87-75A4FB408E9F}" srcOrd="0" destOrd="0" presId="urn:microsoft.com/office/officeart/2005/8/layout/arrow1"/>
    <dgm:cxn modelId="{039536FF-4272-41DC-95C3-3F6CFE167E76}" type="presParOf" srcId="{1BCC5B6B-0A1A-4900-9C84-EDC63B0A17F3}" destId="{142B826C-0799-46B9-9DAA-54977CCC5C8E}" srcOrd="0" destOrd="0" presId="urn:microsoft.com/office/officeart/2005/8/layout/arrow1"/>
    <dgm:cxn modelId="{D2B7917B-CC7A-40CB-A16C-6098618D4AB3}" type="presParOf" srcId="{1BCC5B6B-0A1A-4900-9C84-EDC63B0A17F3}" destId="{A55DCDA7-2289-4D60-AE87-75A4FB408E9F}" srcOrd="1" destOrd="0" presId="urn:microsoft.com/office/officeart/2005/8/layout/arrow1"/>
  </dgm:cxnLst>
  <dgm:bg/>
  <dgm:whole/>
  <dgm:extLst>
    <a:ext uri="http://schemas.microsoft.com/office/drawing/2008/diagram">
      <dsp:dataModelExt xmlns:dsp="http://schemas.microsoft.com/office/drawing/2008/diagram" relId="rId10" minVer="http://schemas.openxmlformats.org/drawingml/2006/diagram"/>
    </a:ext>
  </dgm:extLst>
</dgm:dataModel>
</file>

<file path=xl/diagrams/data3.xml><?xml version="1.0" encoding="utf-8"?>
<dgm:dataModel xmlns:dgm="http://schemas.openxmlformats.org/drawingml/2006/diagram" xmlns:a="http://schemas.openxmlformats.org/drawingml/2006/main">
  <dgm:ptLst>
    <dgm:pt modelId="{F3ADD8C5-24C9-4303-AF44-9E7134F3E2E4}" type="doc">
      <dgm:prSet loTypeId="urn:microsoft.com/office/officeart/2005/8/layout/hierarchy3" loCatId="list" qsTypeId="urn:microsoft.com/office/officeart/2005/8/quickstyle/simple1#2" qsCatId="simple" csTypeId="urn:microsoft.com/office/officeart/2005/8/colors/accent1_2#3" csCatId="accent1" phldr="1"/>
      <dgm:spPr/>
      <dgm:t>
        <a:bodyPr/>
        <a:lstStyle/>
        <a:p>
          <a:endParaRPr lang="en-US"/>
        </a:p>
      </dgm:t>
    </dgm:pt>
    <dgm:pt modelId="{66C798F8-CEC6-447E-BFB1-CDC811994867}">
      <dgm:prSet phldrT="[Text]"/>
      <dgm:spPr/>
      <dgm:t>
        <a:bodyPr/>
        <a:lstStyle/>
        <a:p>
          <a:r>
            <a:rPr lang="en-US"/>
            <a:t>0 to 0.5</a:t>
          </a:r>
        </a:p>
      </dgm:t>
    </dgm:pt>
    <dgm:pt modelId="{C3D53D63-1E5C-4B90-BF48-F64688AE9068}" type="parTrans" cxnId="{38D68654-FF01-4655-863C-8144CD59F25D}">
      <dgm:prSet/>
      <dgm:spPr/>
      <dgm:t>
        <a:bodyPr/>
        <a:lstStyle/>
        <a:p>
          <a:endParaRPr lang="en-US"/>
        </a:p>
      </dgm:t>
    </dgm:pt>
    <dgm:pt modelId="{6C3876D4-55F8-4E6F-B92B-43AE034E20F7}" type="sibTrans" cxnId="{38D68654-FF01-4655-863C-8144CD59F25D}">
      <dgm:prSet/>
      <dgm:spPr/>
      <dgm:t>
        <a:bodyPr/>
        <a:lstStyle/>
        <a:p>
          <a:endParaRPr lang="en-US"/>
        </a:p>
      </dgm:t>
    </dgm:pt>
    <dgm:pt modelId="{2F82DCAF-4AC2-4D75-A27C-316C4B3C00E5}">
      <dgm:prSet phldrT="[Text]"/>
      <dgm:spPr/>
      <dgm:t>
        <a:bodyPr/>
        <a:lstStyle/>
        <a:p>
          <a:r>
            <a:rPr lang="en-US"/>
            <a:t>0.22 Average Value Wolf Creek HET</a:t>
          </a:r>
        </a:p>
      </dgm:t>
    </dgm:pt>
    <dgm:pt modelId="{02E09C62-B2F0-46E4-B2B3-642238C2B0F8}" type="parTrans" cxnId="{1593F253-B0EB-4976-9206-83B8927BDF4B}">
      <dgm:prSet/>
      <dgm:spPr/>
      <dgm:t>
        <a:bodyPr/>
        <a:lstStyle/>
        <a:p>
          <a:endParaRPr lang="en-US"/>
        </a:p>
      </dgm:t>
    </dgm:pt>
    <dgm:pt modelId="{442CC4CC-6812-4B3A-BEFB-5EC8FC29B4A7}" type="sibTrans" cxnId="{1593F253-B0EB-4976-9206-83B8927BDF4B}">
      <dgm:prSet/>
      <dgm:spPr/>
      <dgm:t>
        <a:bodyPr/>
        <a:lstStyle/>
        <a:p>
          <a:endParaRPr lang="en-US"/>
        </a:p>
      </dgm:t>
    </dgm:pt>
    <dgm:pt modelId="{B7945C9C-9022-4F70-B8B6-DD7D55BBEAB5}">
      <dgm:prSet phldrT="[Text]"/>
      <dgm:spPr/>
      <dgm:t>
        <a:bodyPr/>
        <a:lstStyle/>
        <a:p>
          <a:r>
            <a:rPr lang="en-US"/>
            <a:t>0.11- Wolf Creek JET</a:t>
          </a:r>
        </a:p>
      </dgm:t>
    </dgm:pt>
    <dgm:pt modelId="{46129FC5-1BF7-48C5-9E62-DA666B953D6D}" type="parTrans" cxnId="{C3DC75FF-A890-438A-84D7-2E6DB29C6569}">
      <dgm:prSet/>
      <dgm:spPr/>
      <dgm:t>
        <a:bodyPr/>
        <a:lstStyle/>
        <a:p>
          <a:endParaRPr lang="en-US"/>
        </a:p>
      </dgm:t>
    </dgm:pt>
    <dgm:pt modelId="{DED99512-6F65-4284-BCF2-AFF150DC90E8}" type="sibTrans" cxnId="{C3DC75FF-A890-438A-84D7-2E6DB29C6569}">
      <dgm:prSet/>
      <dgm:spPr/>
      <dgm:t>
        <a:bodyPr/>
        <a:lstStyle/>
        <a:p>
          <a:endParaRPr lang="en-US"/>
        </a:p>
      </dgm:t>
    </dgm:pt>
    <dgm:pt modelId="{A1AB9202-22F2-42E9-B3F9-D0767856D171}">
      <dgm:prSet phldrT="[Text]"/>
      <dgm:spPr/>
      <dgm:t>
        <a:bodyPr/>
        <a:lstStyle/>
        <a:p>
          <a:r>
            <a:rPr lang="en-US"/>
            <a:t>0.5 to 1.5</a:t>
          </a:r>
        </a:p>
      </dgm:t>
    </dgm:pt>
    <dgm:pt modelId="{76171A00-6BC0-4AF3-8F43-B2CFC78FAE09}" type="parTrans" cxnId="{3F702470-F423-4BA1-B694-E04293E7ACD8}">
      <dgm:prSet/>
      <dgm:spPr/>
      <dgm:t>
        <a:bodyPr/>
        <a:lstStyle/>
        <a:p>
          <a:endParaRPr lang="en-US"/>
        </a:p>
      </dgm:t>
    </dgm:pt>
    <dgm:pt modelId="{5BD84908-9203-4DC4-9D5E-781FD65BDA61}" type="sibTrans" cxnId="{3F702470-F423-4BA1-B694-E04293E7ACD8}">
      <dgm:prSet/>
      <dgm:spPr/>
      <dgm:t>
        <a:bodyPr/>
        <a:lstStyle/>
        <a:p>
          <a:endParaRPr lang="en-US"/>
        </a:p>
      </dgm:t>
    </dgm:pt>
    <dgm:pt modelId="{CDA77517-5B0F-4047-A346-0F6309600DBE}">
      <dgm:prSet phldrT="[Text]"/>
      <dgm:spPr/>
      <dgm:t>
        <a:bodyPr/>
        <a:lstStyle/>
        <a:p>
          <a:r>
            <a:rPr lang="en-US"/>
            <a:t>0.8- Upper Value- Midwest Levee Breaches</a:t>
          </a:r>
        </a:p>
      </dgm:t>
    </dgm:pt>
    <dgm:pt modelId="{EC1F3298-13D6-4869-8968-5C9C2A04C322}" type="parTrans" cxnId="{76FF72CD-65D5-4AD3-9F01-B4781F65F66D}">
      <dgm:prSet/>
      <dgm:spPr/>
      <dgm:t>
        <a:bodyPr/>
        <a:lstStyle/>
        <a:p>
          <a:endParaRPr lang="en-US"/>
        </a:p>
      </dgm:t>
    </dgm:pt>
    <dgm:pt modelId="{4D8609E7-20FE-471A-9747-6474D5A33154}" type="sibTrans" cxnId="{76FF72CD-65D5-4AD3-9F01-B4781F65F66D}">
      <dgm:prSet/>
      <dgm:spPr/>
      <dgm:t>
        <a:bodyPr/>
        <a:lstStyle/>
        <a:p>
          <a:endParaRPr lang="en-US"/>
        </a:p>
      </dgm:t>
    </dgm:pt>
    <dgm:pt modelId="{F700711A-F779-4EA2-9E13-0AF513D5220D}">
      <dgm:prSet phldrT="[Text]"/>
      <dgm:spPr/>
      <dgm:t>
        <a:bodyPr/>
        <a:lstStyle/>
        <a:p>
          <a:r>
            <a:rPr lang="en-US"/>
            <a:t>1.3- Avg CH TAMU</a:t>
          </a:r>
        </a:p>
      </dgm:t>
    </dgm:pt>
    <dgm:pt modelId="{2809486D-7FCB-449F-AE66-91B71B0F87B5}" type="parTrans" cxnId="{85DE4001-B65C-45B2-8967-CCE1B048A379}">
      <dgm:prSet/>
      <dgm:spPr/>
      <dgm:t>
        <a:bodyPr/>
        <a:lstStyle/>
        <a:p>
          <a:endParaRPr lang="en-US"/>
        </a:p>
      </dgm:t>
    </dgm:pt>
    <dgm:pt modelId="{E4E176FA-780B-4951-80F0-1628FCA070C7}" type="sibTrans" cxnId="{85DE4001-B65C-45B2-8967-CCE1B048A379}">
      <dgm:prSet/>
      <dgm:spPr/>
      <dgm:t>
        <a:bodyPr/>
        <a:lstStyle/>
        <a:p>
          <a:endParaRPr lang="en-US"/>
        </a:p>
      </dgm:t>
    </dgm:pt>
    <dgm:pt modelId="{62CF4893-E5A0-4B8B-A562-272EC45CAEB8}">
      <dgm:prSet phldrT="[Text]"/>
      <dgm:spPr/>
      <dgm:t>
        <a:bodyPr/>
        <a:lstStyle/>
        <a:p>
          <a:r>
            <a:rPr lang="en-US"/>
            <a:t>15 to 40</a:t>
          </a:r>
        </a:p>
      </dgm:t>
    </dgm:pt>
    <dgm:pt modelId="{9E61A429-F1B8-4EC0-AC38-3A50B8C6F500}" type="parTrans" cxnId="{9A1C9F08-EB93-4C7B-BAF7-0331C61F27B6}">
      <dgm:prSet/>
      <dgm:spPr/>
      <dgm:t>
        <a:bodyPr/>
        <a:lstStyle/>
        <a:p>
          <a:endParaRPr lang="en-US"/>
        </a:p>
      </dgm:t>
    </dgm:pt>
    <dgm:pt modelId="{B5D6292A-D02D-4BED-A9B7-6D6B3C476275}" type="sibTrans" cxnId="{9A1C9F08-EB93-4C7B-BAF7-0331C61F27B6}">
      <dgm:prSet/>
      <dgm:spPr/>
      <dgm:t>
        <a:bodyPr/>
        <a:lstStyle/>
        <a:p>
          <a:endParaRPr lang="en-US"/>
        </a:p>
      </dgm:t>
    </dgm:pt>
    <dgm:pt modelId="{20310A3B-8A88-47BC-A266-250FBE5DD06C}">
      <dgm:prSet phldrT="[Text]"/>
      <dgm:spPr/>
      <dgm:t>
        <a:bodyPr/>
        <a:lstStyle/>
        <a:p>
          <a:r>
            <a:rPr lang="en-US"/>
            <a:t>40 to 100</a:t>
          </a:r>
        </a:p>
      </dgm:t>
    </dgm:pt>
    <dgm:pt modelId="{AB43E14E-A7C7-4F08-9792-8A98585C4B37}" type="parTrans" cxnId="{DDC02ADF-E278-47BD-B6D2-FD891B964992}">
      <dgm:prSet/>
      <dgm:spPr/>
      <dgm:t>
        <a:bodyPr/>
        <a:lstStyle/>
        <a:p>
          <a:endParaRPr lang="en-US"/>
        </a:p>
      </dgm:t>
    </dgm:pt>
    <dgm:pt modelId="{EC755C50-0661-4198-92D1-40FE868A1FC8}" type="sibTrans" cxnId="{DDC02ADF-E278-47BD-B6D2-FD891B964992}">
      <dgm:prSet/>
      <dgm:spPr/>
      <dgm:t>
        <a:bodyPr/>
        <a:lstStyle/>
        <a:p>
          <a:endParaRPr lang="en-US"/>
        </a:p>
      </dgm:t>
    </dgm:pt>
    <dgm:pt modelId="{41E92581-D2F9-4B10-A861-178704971FE1}">
      <dgm:prSet phldrT="[Text]"/>
      <dgm:spPr/>
      <dgm:t>
        <a:bodyPr/>
        <a:lstStyle/>
        <a:p>
          <a:r>
            <a:rPr lang="en-US"/>
            <a:t>100 to 200</a:t>
          </a:r>
        </a:p>
      </dgm:t>
    </dgm:pt>
    <dgm:pt modelId="{95745F6D-A7D2-4E23-A827-153D795F0ABD}" type="parTrans" cxnId="{0154D3D1-D10A-4AF2-9520-0D9A473C070B}">
      <dgm:prSet/>
      <dgm:spPr/>
      <dgm:t>
        <a:bodyPr/>
        <a:lstStyle/>
        <a:p>
          <a:endParaRPr lang="en-US"/>
        </a:p>
      </dgm:t>
    </dgm:pt>
    <dgm:pt modelId="{2F9A472D-7B80-435D-A103-836D63DF3AFA}" type="sibTrans" cxnId="{0154D3D1-D10A-4AF2-9520-0D9A473C070B}">
      <dgm:prSet/>
      <dgm:spPr/>
      <dgm:t>
        <a:bodyPr/>
        <a:lstStyle/>
        <a:p>
          <a:endParaRPr lang="en-US"/>
        </a:p>
      </dgm:t>
    </dgm:pt>
    <dgm:pt modelId="{870A0244-67C4-4B6F-9834-79E0D347361E}">
      <dgm:prSet phldrT="[Text]"/>
      <dgm:spPr/>
      <dgm:t>
        <a:bodyPr/>
        <a:lstStyle/>
        <a:p>
          <a:r>
            <a:rPr lang="en-US"/>
            <a:t>200 to 425</a:t>
          </a:r>
        </a:p>
      </dgm:t>
    </dgm:pt>
    <dgm:pt modelId="{305AC9E2-6F48-44DC-9128-7AC3698BF294}" type="parTrans" cxnId="{1219E342-C362-4C88-AD9D-3BFD8C7C78E4}">
      <dgm:prSet/>
      <dgm:spPr/>
      <dgm:t>
        <a:bodyPr/>
        <a:lstStyle/>
        <a:p>
          <a:endParaRPr lang="en-US"/>
        </a:p>
      </dgm:t>
    </dgm:pt>
    <dgm:pt modelId="{8246B163-9754-453A-934F-E77A489D3672}" type="sibTrans" cxnId="{1219E342-C362-4C88-AD9D-3BFD8C7C78E4}">
      <dgm:prSet/>
      <dgm:spPr/>
      <dgm:t>
        <a:bodyPr/>
        <a:lstStyle/>
        <a:p>
          <a:endParaRPr lang="en-US"/>
        </a:p>
      </dgm:t>
    </dgm:pt>
    <dgm:pt modelId="{C9FFB0AF-3716-4DAE-A0E7-EFAACB2E5D8C}">
      <dgm:prSet phldrT="[Text]"/>
      <dgm:spPr/>
      <dgm:t>
        <a:bodyPr/>
        <a:lstStyle/>
        <a:p>
          <a:r>
            <a:rPr lang="en-US"/>
            <a:t>16.6- Fines (Robbins)</a:t>
          </a:r>
        </a:p>
      </dgm:t>
    </dgm:pt>
    <dgm:pt modelId="{4138FB55-F0D8-4A14-ADD4-041C6C5F7FFC}" type="parTrans" cxnId="{DE7670B6-0964-4996-BEE4-803348B1636A}">
      <dgm:prSet/>
      <dgm:spPr/>
      <dgm:t>
        <a:bodyPr/>
        <a:lstStyle/>
        <a:p>
          <a:endParaRPr lang="en-US"/>
        </a:p>
      </dgm:t>
    </dgm:pt>
    <dgm:pt modelId="{AA9DDF19-F25C-4637-B584-B56B69D26D19}" type="sibTrans" cxnId="{DE7670B6-0964-4996-BEE4-803348B1636A}">
      <dgm:prSet/>
      <dgm:spPr/>
      <dgm:t>
        <a:bodyPr/>
        <a:lstStyle/>
        <a:p>
          <a:endParaRPr lang="en-US"/>
        </a:p>
      </dgm:t>
    </dgm:pt>
    <dgm:pt modelId="{1A1A60EF-A7D6-4E8B-A351-71B867DA790C}">
      <dgm:prSet phldrT="[Text]"/>
      <dgm:spPr/>
      <dgm:t>
        <a:bodyPr/>
        <a:lstStyle/>
        <a:p>
          <a:r>
            <a:rPr lang="en-US"/>
            <a:t>36.9-Average Value Katrina</a:t>
          </a:r>
        </a:p>
      </dgm:t>
    </dgm:pt>
    <dgm:pt modelId="{8A9CCB34-C4F8-420E-AF8F-92EC36BC82B8}" type="parTrans" cxnId="{DEE1DC00-E296-4DD4-9DD3-EC8A0C96B10D}">
      <dgm:prSet/>
      <dgm:spPr/>
      <dgm:t>
        <a:bodyPr/>
        <a:lstStyle/>
        <a:p>
          <a:endParaRPr lang="en-US"/>
        </a:p>
      </dgm:t>
    </dgm:pt>
    <dgm:pt modelId="{FCC13442-54A1-418B-BDF1-3C85D3B2B266}" type="sibTrans" cxnId="{DEE1DC00-E296-4DD4-9DD3-EC8A0C96B10D}">
      <dgm:prSet/>
      <dgm:spPr/>
      <dgm:t>
        <a:bodyPr/>
        <a:lstStyle/>
        <a:p>
          <a:endParaRPr lang="en-US"/>
        </a:p>
      </dgm:t>
    </dgm:pt>
    <dgm:pt modelId="{E2B2D7F7-7172-459E-9322-EF5BF68CA875}">
      <dgm:prSet phldrT="[Text]"/>
      <dgm:spPr/>
      <dgm:t>
        <a:bodyPr/>
        <a:lstStyle/>
        <a:p>
          <a:r>
            <a:rPr lang="en-US"/>
            <a:t>203.4 Teton Dam Revisit Upper Value</a:t>
          </a:r>
        </a:p>
      </dgm:t>
    </dgm:pt>
    <dgm:pt modelId="{BB21DC80-45AC-4B11-9AE4-AB39EC7000D0}" type="parTrans" cxnId="{3E0136DE-1991-4F5E-98FB-EFE56F6F1BCE}">
      <dgm:prSet/>
      <dgm:spPr/>
      <dgm:t>
        <a:bodyPr/>
        <a:lstStyle/>
        <a:p>
          <a:endParaRPr lang="en-US"/>
        </a:p>
      </dgm:t>
    </dgm:pt>
    <dgm:pt modelId="{215F83D0-EE0D-4B4C-8FFF-EC0E0C2154BC}" type="sibTrans" cxnId="{3E0136DE-1991-4F5E-98FB-EFE56F6F1BCE}">
      <dgm:prSet/>
      <dgm:spPr/>
      <dgm:t>
        <a:bodyPr/>
        <a:lstStyle/>
        <a:p>
          <a:endParaRPr lang="en-US"/>
        </a:p>
      </dgm:t>
    </dgm:pt>
    <dgm:pt modelId="{F95C3850-BD63-43D6-9B15-39CA58C393EB}">
      <dgm:prSet phldrT="[Text]"/>
      <dgm:spPr/>
      <dgm:t>
        <a:bodyPr/>
        <a:lstStyle/>
        <a:p>
          <a:r>
            <a:rPr lang="en-US"/>
            <a:t>1.93 - Avg-CL TAMU</a:t>
          </a:r>
        </a:p>
      </dgm:t>
    </dgm:pt>
    <dgm:pt modelId="{B0FF2514-797F-4DD1-8F5C-B187E3CE7D94}" type="parTrans" cxnId="{C9E0C0BE-1B96-4FF0-A821-2A03353231F1}">
      <dgm:prSet/>
      <dgm:spPr/>
      <dgm:t>
        <a:bodyPr/>
        <a:lstStyle/>
        <a:p>
          <a:endParaRPr lang="en-US"/>
        </a:p>
      </dgm:t>
    </dgm:pt>
    <dgm:pt modelId="{FC33D67A-F9DF-441F-843B-41E4C107C025}" type="sibTrans" cxnId="{C9E0C0BE-1B96-4FF0-A821-2A03353231F1}">
      <dgm:prSet/>
      <dgm:spPr/>
      <dgm:t>
        <a:bodyPr/>
        <a:lstStyle/>
        <a:p>
          <a:endParaRPr lang="en-US"/>
        </a:p>
      </dgm:t>
    </dgm:pt>
    <dgm:pt modelId="{EE53311F-F658-465F-A424-35194D3CE036}">
      <dgm:prSet phldrT="[Text]"/>
      <dgm:spPr/>
      <dgm:t>
        <a:bodyPr/>
        <a:lstStyle/>
        <a:p>
          <a:r>
            <a:rPr lang="en-US"/>
            <a:t>2.78- Avg MH TAMU</a:t>
          </a:r>
        </a:p>
      </dgm:t>
    </dgm:pt>
    <dgm:pt modelId="{EE9F1235-03A7-4F5B-8B8E-F4E5EF2DEBDC}" type="parTrans" cxnId="{FF53C517-BD7A-40E6-A816-71D5E096D44B}">
      <dgm:prSet/>
      <dgm:spPr/>
      <dgm:t>
        <a:bodyPr/>
        <a:lstStyle/>
        <a:p>
          <a:endParaRPr lang="en-US"/>
        </a:p>
      </dgm:t>
    </dgm:pt>
    <dgm:pt modelId="{9A2C6421-21F0-4EB9-9E1F-8BB85EB14BEC}" type="sibTrans" cxnId="{FF53C517-BD7A-40E6-A816-71D5E096D44B}">
      <dgm:prSet/>
      <dgm:spPr/>
      <dgm:t>
        <a:bodyPr/>
        <a:lstStyle/>
        <a:p>
          <a:endParaRPr lang="en-US"/>
        </a:p>
      </dgm:t>
    </dgm:pt>
    <dgm:pt modelId="{CB2B9E6F-453B-48E4-978A-A23FFDDD2F1E}">
      <dgm:prSet phldrT="[Text]"/>
      <dgm:spPr/>
      <dgm:t>
        <a:bodyPr/>
        <a:lstStyle/>
        <a:p>
          <a:r>
            <a:rPr lang="en-US"/>
            <a:t>8.27- Avg ML TAMU</a:t>
          </a:r>
        </a:p>
      </dgm:t>
    </dgm:pt>
    <dgm:pt modelId="{AFE404AB-A02F-45E8-96D2-08B85C252F08}" type="parTrans" cxnId="{E860F4F8-CA80-49B9-ACCA-BBC9714C8A01}">
      <dgm:prSet/>
      <dgm:spPr/>
      <dgm:t>
        <a:bodyPr/>
        <a:lstStyle/>
        <a:p>
          <a:endParaRPr lang="en-US"/>
        </a:p>
      </dgm:t>
    </dgm:pt>
    <dgm:pt modelId="{A8CE76BC-A2E7-4282-BF73-6B39B8FE33A6}" type="sibTrans" cxnId="{E860F4F8-CA80-49B9-ACCA-BBC9714C8A01}">
      <dgm:prSet/>
      <dgm:spPr/>
      <dgm:t>
        <a:bodyPr/>
        <a:lstStyle/>
        <a:p>
          <a:endParaRPr lang="en-US"/>
        </a:p>
      </dgm:t>
    </dgm:pt>
    <dgm:pt modelId="{5FF0C058-6D49-4C36-B317-96ECE4BA3E77}">
      <dgm:prSet phldrT="[Text]"/>
      <dgm:spPr/>
      <dgm:t>
        <a:bodyPr/>
        <a:lstStyle/>
        <a:p>
          <a:r>
            <a:rPr lang="en-US"/>
            <a:t>45.55 Sand TAMU</a:t>
          </a:r>
        </a:p>
      </dgm:t>
    </dgm:pt>
    <dgm:pt modelId="{D53DE6E4-BD99-45E1-AC8D-EB3CE609A244}" type="parTrans" cxnId="{3B7DA31A-038B-4A2A-8CDD-57DF336F4A7D}">
      <dgm:prSet/>
      <dgm:spPr/>
      <dgm:t>
        <a:bodyPr/>
        <a:lstStyle/>
        <a:p>
          <a:endParaRPr lang="en-US"/>
        </a:p>
      </dgm:t>
    </dgm:pt>
    <dgm:pt modelId="{B6F2C805-9F16-4E18-BE7F-D23E3FB2F98A}" type="sibTrans" cxnId="{3B7DA31A-038B-4A2A-8CDD-57DF336F4A7D}">
      <dgm:prSet/>
      <dgm:spPr/>
      <dgm:t>
        <a:bodyPr/>
        <a:lstStyle/>
        <a:p>
          <a:endParaRPr lang="en-US"/>
        </a:p>
      </dgm:t>
    </dgm:pt>
    <dgm:pt modelId="{38C38245-16CF-4DD4-A7BA-DAE9866BEB3E}">
      <dgm:prSet phldrT="[Text]"/>
      <dgm:spPr/>
      <dgm:t>
        <a:bodyPr/>
        <a:lstStyle/>
        <a:p>
          <a:r>
            <a:rPr lang="en-US"/>
            <a:t>121.6 Average Value Klamath Dam Removals</a:t>
          </a:r>
        </a:p>
      </dgm:t>
    </dgm:pt>
    <dgm:pt modelId="{FA12B0CF-9F0D-4429-85C6-3180E24F7B3F}" type="parTrans" cxnId="{3BF9503E-DA7B-4965-A3B8-4A9125D1CE1A}">
      <dgm:prSet/>
      <dgm:spPr/>
      <dgm:t>
        <a:bodyPr/>
        <a:lstStyle/>
        <a:p>
          <a:endParaRPr lang="en-US"/>
        </a:p>
      </dgm:t>
    </dgm:pt>
    <dgm:pt modelId="{884EA97B-6BF5-4015-B140-EA98404B9A8C}" type="sibTrans" cxnId="{3BF9503E-DA7B-4965-A3B8-4A9125D1CE1A}">
      <dgm:prSet/>
      <dgm:spPr/>
      <dgm:t>
        <a:bodyPr/>
        <a:lstStyle/>
        <a:p>
          <a:endParaRPr lang="en-US"/>
        </a:p>
      </dgm:t>
    </dgm:pt>
    <dgm:pt modelId="{CA9A9622-CD25-4B06-9728-70D22200E71C}">
      <dgm:prSet phldrT="[Text]"/>
      <dgm:spPr/>
      <dgm:t>
        <a:bodyPr/>
        <a:lstStyle/>
        <a:p>
          <a:r>
            <a:rPr lang="en-US"/>
            <a:t>0.42 Average Value Midwest Levees</a:t>
          </a:r>
        </a:p>
      </dgm:t>
    </dgm:pt>
    <dgm:pt modelId="{2E1F2EA3-85FF-4830-9D82-258DA24607D3}" type="parTrans" cxnId="{5E7BFFCE-9B10-48A0-92BB-DA6036598876}">
      <dgm:prSet/>
      <dgm:spPr/>
      <dgm:t>
        <a:bodyPr/>
        <a:lstStyle/>
        <a:p>
          <a:endParaRPr lang="en-US"/>
        </a:p>
      </dgm:t>
    </dgm:pt>
    <dgm:pt modelId="{8020C4CC-F4B4-464E-9458-C9D91955A046}" type="sibTrans" cxnId="{5E7BFFCE-9B10-48A0-92BB-DA6036598876}">
      <dgm:prSet/>
      <dgm:spPr/>
      <dgm:t>
        <a:bodyPr/>
        <a:lstStyle/>
        <a:p>
          <a:endParaRPr lang="en-US"/>
        </a:p>
      </dgm:t>
    </dgm:pt>
    <dgm:pt modelId="{4EA4B776-1CE2-4F7B-9585-FA3A47BAF48C}">
      <dgm:prSet phldrT="[Text]"/>
      <dgm:spPr/>
      <dgm:t>
        <a:bodyPr/>
        <a:lstStyle/>
        <a:p>
          <a:r>
            <a:rPr lang="en-US"/>
            <a:t>0.91 Upper Value Wolf Creek JET</a:t>
          </a:r>
        </a:p>
      </dgm:t>
    </dgm:pt>
    <dgm:pt modelId="{AE099C6B-F374-493A-8C91-825C1E3D59CC}" type="parTrans" cxnId="{51B9FB84-9C87-4451-BB8F-3B26BC1C108A}">
      <dgm:prSet/>
      <dgm:spPr/>
      <dgm:t>
        <a:bodyPr/>
        <a:lstStyle/>
        <a:p>
          <a:endParaRPr lang="en-US"/>
        </a:p>
      </dgm:t>
    </dgm:pt>
    <dgm:pt modelId="{4B2F8B20-AB58-42E5-A891-5EEA7438A075}" type="sibTrans" cxnId="{51B9FB84-9C87-4451-BB8F-3B26BC1C108A}">
      <dgm:prSet/>
      <dgm:spPr/>
      <dgm:t>
        <a:bodyPr/>
        <a:lstStyle/>
        <a:p>
          <a:endParaRPr lang="en-US"/>
        </a:p>
      </dgm:t>
    </dgm:pt>
    <dgm:pt modelId="{A7E52DB7-AEAF-4CBB-B76F-F65037B4720F}">
      <dgm:prSet phldrT="[Text]"/>
      <dgm:spPr/>
      <dgm:t>
        <a:bodyPr/>
        <a:lstStyle/>
        <a:p>
          <a:r>
            <a:rPr lang="en-US"/>
            <a:t>75.1 Teton Dam Revisit Average Value</a:t>
          </a:r>
        </a:p>
      </dgm:t>
    </dgm:pt>
    <dgm:pt modelId="{719CBB58-801C-4ABB-9570-4146B9B54B50}" type="parTrans" cxnId="{9B3653FA-6110-434C-8BCD-201DA695ACD5}">
      <dgm:prSet/>
      <dgm:spPr/>
      <dgm:t>
        <a:bodyPr/>
        <a:lstStyle/>
        <a:p>
          <a:endParaRPr lang="en-US"/>
        </a:p>
      </dgm:t>
    </dgm:pt>
    <dgm:pt modelId="{29AA9CDB-96F8-476C-BCDB-2BE291E960C4}" type="sibTrans" cxnId="{9B3653FA-6110-434C-8BCD-201DA695ACD5}">
      <dgm:prSet/>
      <dgm:spPr/>
      <dgm:t>
        <a:bodyPr/>
        <a:lstStyle/>
        <a:p>
          <a:endParaRPr lang="en-US"/>
        </a:p>
      </dgm:t>
    </dgm:pt>
    <dgm:pt modelId="{257B8BCF-D519-4AD1-B40A-81097B6B437A}">
      <dgm:prSet phldrT="[Text]"/>
      <dgm:spPr/>
      <dgm:t>
        <a:bodyPr/>
        <a:lstStyle/>
        <a:p>
          <a:r>
            <a:rPr lang="en-US"/>
            <a:t>296- Coarse (Robbins)</a:t>
          </a:r>
        </a:p>
      </dgm:t>
    </dgm:pt>
    <dgm:pt modelId="{55E8934E-81DD-4F4A-B531-0833AE322D56}" type="parTrans" cxnId="{2E43E37C-4600-4EE9-B985-D47B76453FC4}">
      <dgm:prSet/>
      <dgm:spPr/>
      <dgm:t>
        <a:bodyPr/>
        <a:lstStyle/>
        <a:p>
          <a:endParaRPr lang="en-US"/>
        </a:p>
      </dgm:t>
    </dgm:pt>
    <dgm:pt modelId="{43BAC9FC-61E3-475C-96C1-904917084E56}" type="sibTrans" cxnId="{2E43E37C-4600-4EE9-B985-D47B76453FC4}">
      <dgm:prSet/>
      <dgm:spPr/>
      <dgm:t>
        <a:bodyPr/>
        <a:lstStyle/>
        <a:p>
          <a:endParaRPr lang="en-US"/>
        </a:p>
      </dgm:t>
    </dgm:pt>
    <dgm:pt modelId="{1A3BFDB4-692F-401F-B95C-45347DF00F81}">
      <dgm:prSet phldrT="[Text]"/>
      <dgm:spPr/>
      <dgm:t>
        <a:bodyPr/>
        <a:lstStyle/>
        <a:p>
          <a:r>
            <a:rPr lang="en-US"/>
            <a:t>1.5 to 15</a:t>
          </a:r>
        </a:p>
      </dgm:t>
    </dgm:pt>
    <dgm:pt modelId="{139A2585-D7E3-452C-AEA5-BB00CE95E864}" type="parTrans" cxnId="{35165731-7496-4C0F-8F6B-19FD56466480}">
      <dgm:prSet/>
      <dgm:spPr/>
      <dgm:t>
        <a:bodyPr/>
        <a:lstStyle/>
        <a:p>
          <a:endParaRPr lang="en-US"/>
        </a:p>
      </dgm:t>
    </dgm:pt>
    <dgm:pt modelId="{B67BA213-7222-4BC0-917D-9DCCE03EE597}" type="sibTrans" cxnId="{35165731-7496-4C0F-8F6B-19FD56466480}">
      <dgm:prSet/>
      <dgm:spPr/>
      <dgm:t>
        <a:bodyPr/>
        <a:lstStyle/>
        <a:p>
          <a:endParaRPr lang="en-US"/>
        </a:p>
      </dgm:t>
    </dgm:pt>
    <dgm:pt modelId="{B0047657-63E3-457E-8053-CB312EF407C8}">
      <dgm:prSet phldrT="[Text]"/>
      <dgm:spPr/>
      <dgm:t>
        <a:bodyPr/>
        <a:lstStyle/>
        <a:p>
          <a:r>
            <a:rPr lang="en-US"/>
            <a:t>407-90% Value Coarse (TAMU)</a:t>
          </a:r>
        </a:p>
      </dgm:t>
    </dgm:pt>
    <dgm:pt modelId="{D0E6D3C7-348F-4049-BCE6-427AE48CBD7C}" type="parTrans" cxnId="{9FD554AE-87B8-41E9-90F3-B2E5920D0658}">
      <dgm:prSet/>
      <dgm:spPr/>
      <dgm:t>
        <a:bodyPr/>
        <a:lstStyle/>
        <a:p>
          <a:endParaRPr lang="en-US"/>
        </a:p>
      </dgm:t>
    </dgm:pt>
    <dgm:pt modelId="{00828685-BFC6-483E-8D2A-A4701C9AA272}" type="sibTrans" cxnId="{9FD554AE-87B8-41E9-90F3-B2E5920D0658}">
      <dgm:prSet/>
      <dgm:spPr/>
      <dgm:t>
        <a:bodyPr/>
        <a:lstStyle/>
        <a:p>
          <a:endParaRPr lang="en-US"/>
        </a:p>
      </dgm:t>
    </dgm:pt>
    <dgm:pt modelId="{147B57D6-5A64-4F02-AC5E-D98684053679}">
      <dgm:prSet phldrT="[Text]"/>
      <dgm:spPr/>
      <dgm:t>
        <a:bodyPr/>
        <a:lstStyle/>
        <a:p>
          <a:r>
            <a:rPr lang="en-US"/>
            <a:t>108-Upper Std Dev Value- Hurricane Katrina</a:t>
          </a:r>
        </a:p>
      </dgm:t>
    </dgm:pt>
    <dgm:pt modelId="{D4211725-6B3B-424A-BC59-17FA45EDCC62}" type="parTrans" cxnId="{AF6165AF-59A4-4497-9CB9-8EC3D5D12DE0}">
      <dgm:prSet/>
      <dgm:spPr/>
      <dgm:t>
        <a:bodyPr/>
        <a:lstStyle/>
        <a:p>
          <a:endParaRPr lang="en-US"/>
        </a:p>
      </dgm:t>
    </dgm:pt>
    <dgm:pt modelId="{8977BCAB-8BF8-4AFC-A3A4-CCA227151D32}" type="sibTrans" cxnId="{AF6165AF-59A4-4497-9CB9-8EC3D5D12DE0}">
      <dgm:prSet/>
      <dgm:spPr/>
      <dgm:t>
        <a:bodyPr/>
        <a:lstStyle/>
        <a:p>
          <a:endParaRPr lang="en-US"/>
        </a:p>
      </dgm:t>
    </dgm:pt>
    <dgm:pt modelId="{42585479-A74B-454B-B54E-3CB43919BA36}" type="pres">
      <dgm:prSet presAssocID="{F3ADD8C5-24C9-4303-AF44-9E7134F3E2E4}" presName="diagram" presStyleCnt="0">
        <dgm:presLayoutVars>
          <dgm:chPref val="1"/>
          <dgm:dir/>
          <dgm:animOne val="branch"/>
          <dgm:animLvl val="lvl"/>
          <dgm:resizeHandles/>
        </dgm:presLayoutVars>
      </dgm:prSet>
      <dgm:spPr/>
    </dgm:pt>
    <dgm:pt modelId="{B2DD526D-FEA8-4BC1-8D23-FD2FE1DE2D85}" type="pres">
      <dgm:prSet presAssocID="{66C798F8-CEC6-447E-BFB1-CDC811994867}" presName="root" presStyleCnt="0"/>
      <dgm:spPr/>
    </dgm:pt>
    <dgm:pt modelId="{CD487E89-0867-4359-92FF-E0F14E0E33E4}" type="pres">
      <dgm:prSet presAssocID="{66C798F8-CEC6-447E-BFB1-CDC811994867}" presName="rootComposite" presStyleCnt="0"/>
      <dgm:spPr/>
    </dgm:pt>
    <dgm:pt modelId="{701AC7D6-A80B-4F91-A64A-4E1F65AC9E35}" type="pres">
      <dgm:prSet presAssocID="{66C798F8-CEC6-447E-BFB1-CDC811994867}" presName="rootText" presStyleLbl="node1" presStyleIdx="0" presStyleCnt="7"/>
      <dgm:spPr/>
    </dgm:pt>
    <dgm:pt modelId="{7C1BB649-D799-43CF-A9C6-E9C870AB8535}" type="pres">
      <dgm:prSet presAssocID="{66C798F8-CEC6-447E-BFB1-CDC811994867}" presName="rootConnector" presStyleLbl="node1" presStyleIdx="0" presStyleCnt="7"/>
      <dgm:spPr/>
    </dgm:pt>
    <dgm:pt modelId="{09D93CC4-46F1-4230-8B62-4119B9AEDFD5}" type="pres">
      <dgm:prSet presAssocID="{66C798F8-CEC6-447E-BFB1-CDC811994867}" presName="childShape" presStyleCnt="0"/>
      <dgm:spPr/>
    </dgm:pt>
    <dgm:pt modelId="{6FFD038A-8800-4DA4-94C3-FA83B21C14B3}" type="pres">
      <dgm:prSet presAssocID="{02E09C62-B2F0-46E4-B2B3-642238C2B0F8}" presName="Name13" presStyleLbl="parChTrans1D2" presStyleIdx="0" presStyleCnt="18"/>
      <dgm:spPr/>
    </dgm:pt>
    <dgm:pt modelId="{E3B990AA-8541-4BDF-B6D1-078D2184A4CB}" type="pres">
      <dgm:prSet presAssocID="{2F82DCAF-4AC2-4D75-A27C-316C4B3C00E5}" presName="childText" presStyleLbl="bgAcc1" presStyleIdx="0" presStyleCnt="18">
        <dgm:presLayoutVars>
          <dgm:bulletEnabled val="1"/>
        </dgm:presLayoutVars>
      </dgm:prSet>
      <dgm:spPr/>
    </dgm:pt>
    <dgm:pt modelId="{ECFCD275-97BD-4065-A788-D2F8EE644DFD}" type="pres">
      <dgm:prSet presAssocID="{46129FC5-1BF7-48C5-9E62-DA666B953D6D}" presName="Name13" presStyleLbl="parChTrans1D2" presStyleIdx="1" presStyleCnt="18"/>
      <dgm:spPr/>
    </dgm:pt>
    <dgm:pt modelId="{03F6F915-171E-4B5E-9D29-138FBBFF5D6C}" type="pres">
      <dgm:prSet presAssocID="{B7945C9C-9022-4F70-B8B6-DD7D55BBEAB5}" presName="childText" presStyleLbl="bgAcc1" presStyleIdx="1" presStyleCnt="18">
        <dgm:presLayoutVars>
          <dgm:bulletEnabled val="1"/>
        </dgm:presLayoutVars>
      </dgm:prSet>
      <dgm:spPr/>
    </dgm:pt>
    <dgm:pt modelId="{C470430C-D491-4B1A-A5AE-198BA723FA6D}" type="pres">
      <dgm:prSet presAssocID="{2E1F2EA3-85FF-4830-9D82-258DA24607D3}" presName="Name13" presStyleLbl="parChTrans1D2" presStyleIdx="2" presStyleCnt="18"/>
      <dgm:spPr/>
    </dgm:pt>
    <dgm:pt modelId="{7E080564-BCBD-4384-ACFA-9ADA7F122124}" type="pres">
      <dgm:prSet presAssocID="{CA9A9622-CD25-4B06-9728-70D22200E71C}" presName="childText" presStyleLbl="bgAcc1" presStyleIdx="2" presStyleCnt="18">
        <dgm:presLayoutVars>
          <dgm:bulletEnabled val="1"/>
        </dgm:presLayoutVars>
      </dgm:prSet>
      <dgm:spPr/>
    </dgm:pt>
    <dgm:pt modelId="{3D281CE1-B8BC-4168-A08F-4BF72B11F2AD}" type="pres">
      <dgm:prSet presAssocID="{A1AB9202-22F2-42E9-B3F9-D0767856D171}" presName="root" presStyleCnt="0"/>
      <dgm:spPr/>
    </dgm:pt>
    <dgm:pt modelId="{4EAB2F2E-E864-44A7-ABE6-443D683AC9ED}" type="pres">
      <dgm:prSet presAssocID="{A1AB9202-22F2-42E9-B3F9-D0767856D171}" presName="rootComposite" presStyleCnt="0"/>
      <dgm:spPr/>
    </dgm:pt>
    <dgm:pt modelId="{F89E0B94-A133-469C-B6BC-889B9EB462F3}" type="pres">
      <dgm:prSet presAssocID="{A1AB9202-22F2-42E9-B3F9-D0767856D171}" presName="rootText" presStyleLbl="node1" presStyleIdx="1" presStyleCnt="7"/>
      <dgm:spPr/>
    </dgm:pt>
    <dgm:pt modelId="{49073FAA-88B6-48D2-A875-52041492B645}" type="pres">
      <dgm:prSet presAssocID="{A1AB9202-22F2-42E9-B3F9-D0767856D171}" presName="rootConnector" presStyleLbl="node1" presStyleIdx="1" presStyleCnt="7"/>
      <dgm:spPr/>
    </dgm:pt>
    <dgm:pt modelId="{D38FC685-4D4A-4D32-A65E-A86DC15ECC56}" type="pres">
      <dgm:prSet presAssocID="{A1AB9202-22F2-42E9-B3F9-D0767856D171}" presName="childShape" presStyleCnt="0"/>
      <dgm:spPr/>
    </dgm:pt>
    <dgm:pt modelId="{5966057B-77EB-4E04-98C8-321E7D13F5BD}" type="pres">
      <dgm:prSet presAssocID="{EC1F3298-13D6-4869-8968-5C9C2A04C322}" presName="Name13" presStyleLbl="parChTrans1D2" presStyleIdx="3" presStyleCnt="18"/>
      <dgm:spPr/>
    </dgm:pt>
    <dgm:pt modelId="{EB356D17-DAC5-4A6D-9B59-4938092268BB}" type="pres">
      <dgm:prSet presAssocID="{CDA77517-5B0F-4047-A346-0F6309600DBE}" presName="childText" presStyleLbl="bgAcc1" presStyleIdx="3" presStyleCnt="18">
        <dgm:presLayoutVars>
          <dgm:bulletEnabled val="1"/>
        </dgm:presLayoutVars>
      </dgm:prSet>
      <dgm:spPr/>
    </dgm:pt>
    <dgm:pt modelId="{E1E2E7B1-6187-47CB-A1F1-C09153EDE52D}" type="pres">
      <dgm:prSet presAssocID="{AE099C6B-F374-493A-8C91-825C1E3D59CC}" presName="Name13" presStyleLbl="parChTrans1D2" presStyleIdx="4" presStyleCnt="18"/>
      <dgm:spPr/>
    </dgm:pt>
    <dgm:pt modelId="{A196CA85-BEF0-4585-9999-06E630C8ADFB}" type="pres">
      <dgm:prSet presAssocID="{4EA4B776-1CE2-4F7B-9585-FA3A47BAF48C}" presName="childText" presStyleLbl="bgAcc1" presStyleIdx="4" presStyleCnt="18">
        <dgm:presLayoutVars>
          <dgm:bulletEnabled val="1"/>
        </dgm:presLayoutVars>
      </dgm:prSet>
      <dgm:spPr/>
    </dgm:pt>
    <dgm:pt modelId="{0FA0E052-7724-4CA3-B659-C88EDD117C61}" type="pres">
      <dgm:prSet presAssocID="{2809486D-7FCB-449F-AE66-91B71B0F87B5}" presName="Name13" presStyleLbl="parChTrans1D2" presStyleIdx="5" presStyleCnt="18"/>
      <dgm:spPr/>
    </dgm:pt>
    <dgm:pt modelId="{F0CF82EA-D537-42BF-A965-5C08F8C0E4E1}" type="pres">
      <dgm:prSet presAssocID="{F700711A-F779-4EA2-9E13-0AF513D5220D}" presName="childText" presStyleLbl="bgAcc1" presStyleIdx="5" presStyleCnt="18">
        <dgm:presLayoutVars>
          <dgm:bulletEnabled val="1"/>
        </dgm:presLayoutVars>
      </dgm:prSet>
      <dgm:spPr/>
    </dgm:pt>
    <dgm:pt modelId="{3E996894-E974-4D8F-90F0-0828163BDCE1}" type="pres">
      <dgm:prSet presAssocID="{1A3BFDB4-692F-401F-B95C-45347DF00F81}" presName="root" presStyleCnt="0"/>
      <dgm:spPr/>
    </dgm:pt>
    <dgm:pt modelId="{4E046D98-2596-400C-9284-D2AA532998D4}" type="pres">
      <dgm:prSet presAssocID="{1A3BFDB4-692F-401F-B95C-45347DF00F81}" presName="rootComposite" presStyleCnt="0"/>
      <dgm:spPr/>
    </dgm:pt>
    <dgm:pt modelId="{3FBECFD4-CF00-4E9F-9489-461B0B71DD27}" type="pres">
      <dgm:prSet presAssocID="{1A3BFDB4-692F-401F-B95C-45347DF00F81}" presName="rootText" presStyleLbl="node1" presStyleIdx="2" presStyleCnt="7"/>
      <dgm:spPr/>
    </dgm:pt>
    <dgm:pt modelId="{0AA5499E-E1FF-4033-A1DD-7E09CBFF4209}" type="pres">
      <dgm:prSet presAssocID="{1A3BFDB4-692F-401F-B95C-45347DF00F81}" presName="rootConnector" presStyleLbl="node1" presStyleIdx="2" presStyleCnt="7"/>
      <dgm:spPr/>
    </dgm:pt>
    <dgm:pt modelId="{B74583E3-C123-439A-8114-5A350F1A2494}" type="pres">
      <dgm:prSet presAssocID="{1A3BFDB4-692F-401F-B95C-45347DF00F81}" presName="childShape" presStyleCnt="0"/>
      <dgm:spPr/>
    </dgm:pt>
    <dgm:pt modelId="{8FB7169A-96D0-4BC8-91BF-B05450BF8D1C}" type="pres">
      <dgm:prSet presAssocID="{B0FF2514-797F-4DD1-8F5C-B187E3CE7D94}" presName="Name13" presStyleLbl="parChTrans1D2" presStyleIdx="6" presStyleCnt="18"/>
      <dgm:spPr/>
    </dgm:pt>
    <dgm:pt modelId="{28795A13-28AF-45EA-AB0B-96571799092A}" type="pres">
      <dgm:prSet presAssocID="{F95C3850-BD63-43D6-9B15-39CA58C393EB}" presName="childText" presStyleLbl="bgAcc1" presStyleIdx="6" presStyleCnt="18">
        <dgm:presLayoutVars>
          <dgm:bulletEnabled val="1"/>
        </dgm:presLayoutVars>
      </dgm:prSet>
      <dgm:spPr/>
    </dgm:pt>
    <dgm:pt modelId="{01E5C3A3-F78D-4EE3-A501-C4D26F5FA807}" type="pres">
      <dgm:prSet presAssocID="{EE9F1235-03A7-4F5B-8B8E-F4E5EF2DEBDC}" presName="Name13" presStyleLbl="parChTrans1D2" presStyleIdx="7" presStyleCnt="18"/>
      <dgm:spPr/>
    </dgm:pt>
    <dgm:pt modelId="{92AE8E0C-E927-4C5B-A06D-FC6E448934C8}" type="pres">
      <dgm:prSet presAssocID="{EE53311F-F658-465F-A424-35194D3CE036}" presName="childText" presStyleLbl="bgAcc1" presStyleIdx="7" presStyleCnt="18">
        <dgm:presLayoutVars>
          <dgm:bulletEnabled val="1"/>
        </dgm:presLayoutVars>
      </dgm:prSet>
      <dgm:spPr/>
    </dgm:pt>
    <dgm:pt modelId="{07BEB4C5-9EC9-4C6E-9DE0-25C8CE368A96}" type="pres">
      <dgm:prSet presAssocID="{AFE404AB-A02F-45E8-96D2-08B85C252F08}" presName="Name13" presStyleLbl="parChTrans1D2" presStyleIdx="8" presStyleCnt="18"/>
      <dgm:spPr/>
    </dgm:pt>
    <dgm:pt modelId="{D6242DAE-B9B5-4079-8461-056BA6C0504C}" type="pres">
      <dgm:prSet presAssocID="{CB2B9E6F-453B-48E4-978A-A23FFDDD2F1E}" presName="childText" presStyleLbl="bgAcc1" presStyleIdx="8" presStyleCnt="18">
        <dgm:presLayoutVars>
          <dgm:bulletEnabled val="1"/>
        </dgm:presLayoutVars>
      </dgm:prSet>
      <dgm:spPr/>
    </dgm:pt>
    <dgm:pt modelId="{339CF876-B33C-4B9B-B017-4FDB361856EE}" type="pres">
      <dgm:prSet presAssocID="{62CF4893-E5A0-4B8B-A562-272EC45CAEB8}" presName="root" presStyleCnt="0"/>
      <dgm:spPr/>
    </dgm:pt>
    <dgm:pt modelId="{9F4E26BE-BF55-46FC-8132-06AA45E0E4F6}" type="pres">
      <dgm:prSet presAssocID="{62CF4893-E5A0-4B8B-A562-272EC45CAEB8}" presName="rootComposite" presStyleCnt="0"/>
      <dgm:spPr/>
    </dgm:pt>
    <dgm:pt modelId="{356D28C6-C266-4F29-8FF9-FBC1B77FBBA3}" type="pres">
      <dgm:prSet presAssocID="{62CF4893-E5A0-4B8B-A562-272EC45CAEB8}" presName="rootText" presStyleLbl="node1" presStyleIdx="3" presStyleCnt="7"/>
      <dgm:spPr/>
    </dgm:pt>
    <dgm:pt modelId="{B56E4F1D-448E-4921-A386-ABD1E510A982}" type="pres">
      <dgm:prSet presAssocID="{62CF4893-E5A0-4B8B-A562-272EC45CAEB8}" presName="rootConnector" presStyleLbl="node1" presStyleIdx="3" presStyleCnt="7"/>
      <dgm:spPr/>
    </dgm:pt>
    <dgm:pt modelId="{39BCA854-A7A0-49B9-98A1-5BAFD8CAD6FE}" type="pres">
      <dgm:prSet presAssocID="{62CF4893-E5A0-4B8B-A562-272EC45CAEB8}" presName="childShape" presStyleCnt="0"/>
      <dgm:spPr/>
    </dgm:pt>
    <dgm:pt modelId="{877F37E2-B24A-4C52-84E5-EFDB920930FD}" type="pres">
      <dgm:prSet presAssocID="{4138FB55-F0D8-4A14-ADD4-041C6C5F7FFC}" presName="Name13" presStyleLbl="parChTrans1D2" presStyleIdx="9" presStyleCnt="18"/>
      <dgm:spPr/>
    </dgm:pt>
    <dgm:pt modelId="{374CC6A0-CB38-42C7-870C-6F16D18EAAB0}" type="pres">
      <dgm:prSet presAssocID="{C9FFB0AF-3716-4DAE-A0E7-EFAACB2E5D8C}" presName="childText" presStyleLbl="bgAcc1" presStyleIdx="9" presStyleCnt="18">
        <dgm:presLayoutVars>
          <dgm:bulletEnabled val="1"/>
        </dgm:presLayoutVars>
      </dgm:prSet>
      <dgm:spPr/>
    </dgm:pt>
    <dgm:pt modelId="{0B1BDB8C-6AEA-4BB7-89DC-3DD35AEB7D1C}" type="pres">
      <dgm:prSet presAssocID="{8A9CCB34-C4F8-420E-AF8F-92EC36BC82B8}" presName="Name13" presStyleLbl="parChTrans1D2" presStyleIdx="10" presStyleCnt="18"/>
      <dgm:spPr/>
    </dgm:pt>
    <dgm:pt modelId="{898F3882-49B3-428D-8235-34397EF957E4}" type="pres">
      <dgm:prSet presAssocID="{1A1A60EF-A7D6-4E8B-A351-71B867DA790C}" presName="childText" presStyleLbl="bgAcc1" presStyleIdx="10" presStyleCnt="18">
        <dgm:presLayoutVars>
          <dgm:bulletEnabled val="1"/>
        </dgm:presLayoutVars>
      </dgm:prSet>
      <dgm:spPr/>
    </dgm:pt>
    <dgm:pt modelId="{C4D5A2D2-1077-4B18-BE2C-2B8A8FEA5914}" type="pres">
      <dgm:prSet presAssocID="{20310A3B-8A88-47BC-A266-250FBE5DD06C}" presName="root" presStyleCnt="0"/>
      <dgm:spPr/>
    </dgm:pt>
    <dgm:pt modelId="{DD57A137-F2A6-4146-B699-3981A74D3A24}" type="pres">
      <dgm:prSet presAssocID="{20310A3B-8A88-47BC-A266-250FBE5DD06C}" presName="rootComposite" presStyleCnt="0"/>
      <dgm:spPr/>
    </dgm:pt>
    <dgm:pt modelId="{0D455415-8905-4215-8806-7F645529B67F}" type="pres">
      <dgm:prSet presAssocID="{20310A3B-8A88-47BC-A266-250FBE5DD06C}" presName="rootText" presStyleLbl="node1" presStyleIdx="4" presStyleCnt="7"/>
      <dgm:spPr/>
    </dgm:pt>
    <dgm:pt modelId="{17969FEA-F103-4610-A009-7468A9D349A7}" type="pres">
      <dgm:prSet presAssocID="{20310A3B-8A88-47BC-A266-250FBE5DD06C}" presName="rootConnector" presStyleLbl="node1" presStyleIdx="4" presStyleCnt="7"/>
      <dgm:spPr/>
    </dgm:pt>
    <dgm:pt modelId="{6692A4DF-5EB6-4C0F-B04C-11F36C9D6F6E}" type="pres">
      <dgm:prSet presAssocID="{20310A3B-8A88-47BC-A266-250FBE5DD06C}" presName="childShape" presStyleCnt="0"/>
      <dgm:spPr/>
    </dgm:pt>
    <dgm:pt modelId="{E2763699-CA17-4BE9-9CED-8DD8BF62376A}" type="pres">
      <dgm:prSet presAssocID="{D53DE6E4-BD99-45E1-AC8D-EB3CE609A244}" presName="Name13" presStyleLbl="parChTrans1D2" presStyleIdx="11" presStyleCnt="18"/>
      <dgm:spPr/>
    </dgm:pt>
    <dgm:pt modelId="{F150B617-8849-4098-BC4E-EB1612F90585}" type="pres">
      <dgm:prSet presAssocID="{5FF0C058-6D49-4C36-B317-96ECE4BA3E77}" presName="childText" presStyleLbl="bgAcc1" presStyleIdx="11" presStyleCnt="18">
        <dgm:presLayoutVars>
          <dgm:bulletEnabled val="1"/>
        </dgm:presLayoutVars>
      </dgm:prSet>
      <dgm:spPr/>
    </dgm:pt>
    <dgm:pt modelId="{4AC32581-2B63-4819-9212-E1A8C1C71E40}" type="pres">
      <dgm:prSet presAssocID="{719CBB58-801C-4ABB-9570-4146B9B54B50}" presName="Name13" presStyleLbl="parChTrans1D2" presStyleIdx="12" presStyleCnt="18"/>
      <dgm:spPr/>
    </dgm:pt>
    <dgm:pt modelId="{CDB4CCC0-0223-4ECB-90B0-08154E98DDDF}" type="pres">
      <dgm:prSet presAssocID="{A7E52DB7-AEAF-4CBB-B76F-F65037B4720F}" presName="childText" presStyleLbl="bgAcc1" presStyleIdx="12" presStyleCnt="18">
        <dgm:presLayoutVars>
          <dgm:bulletEnabled val="1"/>
        </dgm:presLayoutVars>
      </dgm:prSet>
      <dgm:spPr/>
    </dgm:pt>
    <dgm:pt modelId="{55BD0FB0-5F65-4975-85BE-AA982A0B297E}" type="pres">
      <dgm:prSet presAssocID="{41E92581-D2F9-4B10-A861-178704971FE1}" presName="root" presStyleCnt="0"/>
      <dgm:spPr/>
    </dgm:pt>
    <dgm:pt modelId="{A7365802-64A6-4991-A5FC-663179CCEC82}" type="pres">
      <dgm:prSet presAssocID="{41E92581-D2F9-4B10-A861-178704971FE1}" presName="rootComposite" presStyleCnt="0"/>
      <dgm:spPr/>
    </dgm:pt>
    <dgm:pt modelId="{452CAA51-CB84-4E52-8DCD-F554FA735C22}" type="pres">
      <dgm:prSet presAssocID="{41E92581-D2F9-4B10-A861-178704971FE1}" presName="rootText" presStyleLbl="node1" presStyleIdx="5" presStyleCnt="7"/>
      <dgm:spPr/>
    </dgm:pt>
    <dgm:pt modelId="{E53728AA-433D-4550-8239-D66820C4AB26}" type="pres">
      <dgm:prSet presAssocID="{41E92581-D2F9-4B10-A861-178704971FE1}" presName="rootConnector" presStyleLbl="node1" presStyleIdx="5" presStyleCnt="7"/>
      <dgm:spPr/>
    </dgm:pt>
    <dgm:pt modelId="{698B6AEE-DCD3-4E13-B4AC-885DD34E4D36}" type="pres">
      <dgm:prSet presAssocID="{41E92581-D2F9-4B10-A861-178704971FE1}" presName="childShape" presStyleCnt="0"/>
      <dgm:spPr/>
    </dgm:pt>
    <dgm:pt modelId="{F03152B3-860B-4E76-AA48-6434D3E18070}" type="pres">
      <dgm:prSet presAssocID="{D4211725-6B3B-424A-BC59-17FA45EDCC62}" presName="Name13" presStyleLbl="parChTrans1D2" presStyleIdx="13" presStyleCnt="18"/>
      <dgm:spPr/>
    </dgm:pt>
    <dgm:pt modelId="{C4CAFCF2-AD5B-4CC0-B0BA-2C256AC6269E}" type="pres">
      <dgm:prSet presAssocID="{147B57D6-5A64-4F02-AC5E-D98684053679}" presName="childText" presStyleLbl="bgAcc1" presStyleIdx="13" presStyleCnt="18">
        <dgm:presLayoutVars>
          <dgm:bulletEnabled val="1"/>
        </dgm:presLayoutVars>
      </dgm:prSet>
      <dgm:spPr/>
    </dgm:pt>
    <dgm:pt modelId="{F30FB74C-968C-4BB4-9F52-E228FD4423C0}" type="pres">
      <dgm:prSet presAssocID="{FA12B0CF-9F0D-4429-85C6-3180E24F7B3F}" presName="Name13" presStyleLbl="parChTrans1D2" presStyleIdx="14" presStyleCnt="18"/>
      <dgm:spPr/>
    </dgm:pt>
    <dgm:pt modelId="{C950B585-4A3E-4335-88E7-14E791FD9072}" type="pres">
      <dgm:prSet presAssocID="{38C38245-16CF-4DD4-A7BA-DAE9866BEB3E}" presName="childText" presStyleLbl="bgAcc1" presStyleIdx="14" presStyleCnt="18">
        <dgm:presLayoutVars>
          <dgm:bulletEnabled val="1"/>
        </dgm:presLayoutVars>
      </dgm:prSet>
      <dgm:spPr/>
    </dgm:pt>
    <dgm:pt modelId="{09FB7ECE-88F8-4886-9429-A3995C342A55}" type="pres">
      <dgm:prSet presAssocID="{870A0244-67C4-4B6F-9834-79E0D347361E}" presName="root" presStyleCnt="0"/>
      <dgm:spPr/>
    </dgm:pt>
    <dgm:pt modelId="{80707F68-FDC8-4099-85BA-C121D8BDEF16}" type="pres">
      <dgm:prSet presAssocID="{870A0244-67C4-4B6F-9834-79E0D347361E}" presName="rootComposite" presStyleCnt="0"/>
      <dgm:spPr/>
    </dgm:pt>
    <dgm:pt modelId="{296F2AFB-89D2-4A45-A2AA-53CBACE4B779}" type="pres">
      <dgm:prSet presAssocID="{870A0244-67C4-4B6F-9834-79E0D347361E}" presName="rootText" presStyleLbl="node1" presStyleIdx="6" presStyleCnt="7"/>
      <dgm:spPr/>
    </dgm:pt>
    <dgm:pt modelId="{0A117579-70F3-41AE-A1C3-B6028254055A}" type="pres">
      <dgm:prSet presAssocID="{870A0244-67C4-4B6F-9834-79E0D347361E}" presName="rootConnector" presStyleLbl="node1" presStyleIdx="6" presStyleCnt="7"/>
      <dgm:spPr/>
    </dgm:pt>
    <dgm:pt modelId="{4EF140B7-246E-4D90-A558-5203DCA45E63}" type="pres">
      <dgm:prSet presAssocID="{870A0244-67C4-4B6F-9834-79E0D347361E}" presName="childShape" presStyleCnt="0"/>
      <dgm:spPr/>
    </dgm:pt>
    <dgm:pt modelId="{BC621A52-76C5-4D7F-A11F-CCD40399D6F2}" type="pres">
      <dgm:prSet presAssocID="{BB21DC80-45AC-4B11-9AE4-AB39EC7000D0}" presName="Name13" presStyleLbl="parChTrans1D2" presStyleIdx="15" presStyleCnt="18"/>
      <dgm:spPr/>
    </dgm:pt>
    <dgm:pt modelId="{12E17328-10BC-4382-9F95-DDE581E29C2B}" type="pres">
      <dgm:prSet presAssocID="{E2B2D7F7-7172-459E-9322-EF5BF68CA875}" presName="childText" presStyleLbl="bgAcc1" presStyleIdx="15" presStyleCnt="18">
        <dgm:presLayoutVars>
          <dgm:bulletEnabled val="1"/>
        </dgm:presLayoutVars>
      </dgm:prSet>
      <dgm:spPr/>
    </dgm:pt>
    <dgm:pt modelId="{78BEE515-E14E-4BF2-A010-B192BF96C3FA}" type="pres">
      <dgm:prSet presAssocID="{55E8934E-81DD-4F4A-B531-0833AE322D56}" presName="Name13" presStyleLbl="parChTrans1D2" presStyleIdx="16" presStyleCnt="18"/>
      <dgm:spPr/>
    </dgm:pt>
    <dgm:pt modelId="{DDF86709-FA57-4E95-83B9-B0B76294F91F}" type="pres">
      <dgm:prSet presAssocID="{257B8BCF-D519-4AD1-B40A-81097B6B437A}" presName="childText" presStyleLbl="bgAcc1" presStyleIdx="16" presStyleCnt="18">
        <dgm:presLayoutVars>
          <dgm:bulletEnabled val="1"/>
        </dgm:presLayoutVars>
      </dgm:prSet>
      <dgm:spPr/>
    </dgm:pt>
    <dgm:pt modelId="{2FA7FD7D-6477-4BB1-A6BE-809D01C437ED}" type="pres">
      <dgm:prSet presAssocID="{D0E6D3C7-348F-4049-BCE6-427AE48CBD7C}" presName="Name13" presStyleLbl="parChTrans1D2" presStyleIdx="17" presStyleCnt="18"/>
      <dgm:spPr/>
    </dgm:pt>
    <dgm:pt modelId="{28B2C1F0-4879-4F02-B4B1-EDD7E396DDD0}" type="pres">
      <dgm:prSet presAssocID="{B0047657-63E3-457E-8053-CB312EF407C8}" presName="childText" presStyleLbl="bgAcc1" presStyleIdx="17" presStyleCnt="18">
        <dgm:presLayoutVars>
          <dgm:bulletEnabled val="1"/>
        </dgm:presLayoutVars>
      </dgm:prSet>
      <dgm:spPr/>
    </dgm:pt>
  </dgm:ptLst>
  <dgm:cxnLst>
    <dgm:cxn modelId="{DEE1DC00-E296-4DD4-9DD3-EC8A0C96B10D}" srcId="{62CF4893-E5A0-4B8B-A562-272EC45CAEB8}" destId="{1A1A60EF-A7D6-4E8B-A351-71B867DA790C}" srcOrd="1" destOrd="0" parTransId="{8A9CCB34-C4F8-420E-AF8F-92EC36BC82B8}" sibTransId="{FCC13442-54A1-418B-BDF1-3C85D3B2B266}"/>
    <dgm:cxn modelId="{85DE4001-B65C-45B2-8967-CCE1B048A379}" srcId="{A1AB9202-22F2-42E9-B3F9-D0767856D171}" destId="{F700711A-F779-4EA2-9E13-0AF513D5220D}" srcOrd="2" destOrd="0" parTransId="{2809486D-7FCB-449F-AE66-91B71B0F87B5}" sibTransId="{E4E176FA-780B-4951-80F0-1628FCA070C7}"/>
    <dgm:cxn modelId="{89AA1407-835C-476E-A16A-CBA4C9A5A166}" type="presOf" srcId="{1A3BFDB4-692F-401F-B95C-45347DF00F81}" destId="{3FBECFD4-CF00-4E9F-9489-461B0B71DD27}" srcOrd="0" destOrd="0" presId="urn:microsoft.com/office/officeart/2005/8/layout/hierarchy3"/>
    <dgm:cxn modelId="{810A5808-F0E2-4890-A422-9829FDBD538A}" type="presOf" srcId="{A1AB9202-22F2-42E9-B3F9-D0767856D171}" destId="{F89E0B94-A133-469C-B6BC-889B9EB462F3}" srcOrd="0" destOrd="0" presId="urn:microsoft.com/office/officeart/2005/8/layout/hierarchy3"/>
    <dgm:cxn modelId="{9A1C9F08-EB93-4C7B-BAF7-0331C61F27B6}" srcId="{F3ADD8C5-24C9-4303-AF44-9E7134F3E2E4}" destId="{62CF4893-E5A0-4B8B-A562-272EC45CAEB8}" srcOrd="3" destOrd="0" parTransId="{9E61A429-F1B8-4EC0-AC38-3A50B8C6F500}" sibTransId="{B5D6292A-D02D-4BED-A9B7-6D6B3C476275}"/>
    <dgm:cxn modelId="{FF53C517-BD7A-40E6-A816-71D5E096D44B}" srcId="{1A3BFDB4-692F-401F-B95C-45347DF00F81}" destId="{EE53311F-F658-465F-A424-35194D3CE036}" srcOrd="1" destOrd="0" parTransId="{EE9F1235-03A7-4F5B-8B8E-F4E5EF2DEBDC}" sibTransId="{9A2C6421-21F0-4EB9-9E1F-8BB85EB14BEC}"/>
    <dgm:cxn modelId="{6A9C9419-B4E8-489E-9F53-82774230614C}" type="presOf" srcId="{2809486D-7FCB-449F-AE66-91B71B0F87B5}" destId="{0FA0E052-7724-4CA3-B659-C88EDD117C61}" srcOrd="0" destOrd="0" presId="urn:microsoft.com/office/officeart/2005/8/layout/hierarchy3"/>
    <dgm:cxn modelId="{3B7DA31A-038B-4A2A-8CDD-57DF336F4A7D}" srcId="{20310A3B-8A88-47BC-A266-250FBE5DD06C}" destId="{5FF0C058-6D49-4C36-B317-96ECE4BA3E77}" srcOrd="0" destOrd="0" parTransId="{D53DE6E4-BD99-45E1-AC8D-EB3CE609A244}" sibTransId="{B6F2C805-9F16-4E18-BE7F-D23E3FB2F98A}"/>
    <dgm:cxn modelId="{2ED9DF1D-754B-41E1-B041-3F1A55C890B2}" type="presOf" srcId="{CDA77517-5B0F-4047-A346-0F6309600DBE}" destId="{EB356D17-DAC5-4A6D-9B59-4938092268BB}" srcOrd="0" destOrd="0" presId="urn:microsoft.com/office/officeart/2005/8/layout/hierarchy3"/>
    <dgm:cxn modelId="{61199025-AECF-4B6F-A844-70C04B318740}" type="presOf" srcId="{870A0244-67C4-4B6F-9834-79E0D347361E}" destId="{296F2AFB-89D2-4A45-A2AA-53CBACE4B779}" srcOrd="0" destOrd="0" presId="urn:microsoft.com/office/officeart/2005/8/layout/hierarchy3"/>
    <dgm:cxn modelId="{2775572A-A347-44CB-9250-974D025EBB48}" type="presOf" srcId="{EC1F3298-13D6-4869-8968-5C9C2A04C322}" destId="{5966057B-77EB-4E04-98C8-321E7D13F5BD}" srcOrd="0" destOrd="0" presId="urn:microsoft.com/office/officeart/2005/8/layout/hierarchy3"/>
    <dgm:cxn modelId="{0034912B-3587-4B2B-849D-0D753B8F9D37}" type="presOf" srcId="{147B57D6-5A64-4F02-AC5E-D98684053679}" destId="{C4CAFCF2-AD5B-4CC0-B0BA-2C256AC6269E}" srcOrd="0" destOrd="0" presId="urn:microsoft.com/office/officeart/2005/8/layout/hierarchy3"/>
    <dgm:cxn modelId="{9BB9FD2D-56AF-4A37-B193-4A84EFF3555B}" type="presOf" srcId="{66C798F8-CEC6-447E-BFB1-CDC811994867}" destId="{701AC7D6-A80B-4F91-A64A-4E1F65AC9E35}" srcOrd="0" destOrd="0" presId="urn:microsoft.com/office/officeart/2005/8/layout/hierarchy3"/>
    <dgm:cxn modelId="{9FF0B330-BCD5-49BE-9D5F-BDF444068CC2}" type="presOf" srcId="{2E1F2EA3-85FF-4830-9D82-258DA24607D3}" destId="{C470430C-D491-4B1A-A5AE-198BA723FA6D}" srcOrd="0" destOrd="0" presId="urn:microsoft.com/office/officeart/2005/8/layout/hierarchy3"/>
    <dgm:cxn modelId="{DB42CF30-8029-4413-9B86-EC5232F4EBDE}" type="presOf" srcId="{F95C3850-BD63-43D6-9B15-39CA58C393EB}" destId="{28795A13-28AF-45EA-AB0B-96571799092A}" srcOrd="0" destOrd="0" presId="urn:microsoft.com/office/officeart/2005/8/layout/hierarchy3"/>
    <dgm:cxn modelId="{35165731-7496-4C0F-8F6B-19FD56466480}" srcId="{F3ADD8C5-24C9-4303-AF44-9E7134F3E2E4}" destId="{1A3BFDB4-692F-401F-B95C-45347DF00F81}" srcOrd="2" destOrd="0" parTransId="{139A2585-D7E3-452C-AEA5-BB00CE95E864}" sibTransId="{B67BA213-7222-4BC0-917D-9DCCE03EE597}"/>
    <dgm:cxn modelId="{118B4039-CA63-45B2-88A5-EAA1AE139DFB}" type="presOf" srcId="{D0E6D3C7-348F-4049-BCE6-427AE48CBD7C}" destId="{2FA7FD7D-6477-4BB1-A6BE-809D01C437ED}" srcOrd="0" destOrd="0" presId="urn:microsoft.com/office/officeart/2005/8/layout/hierarchy3"/>
    <dgm:cxn modelId="{3BF9503E-DA7B-4965-A3B8-4A9125D1CE1A}" srcId="{41E92581-D2F9-4B10-A861-178704971FE1}" destId="{38C38245-16CF-4DD4-A7BA-DAE9866BEB3E}" srcOrd="1" destOrd="0" parTransId="{FA12B0CF-9F0D-4429-85C6-3180E24F7B3F}" sibTransId="{884EA97B-6BF5-4015-B140-EA98404B9A8C}"/>
    <dgm:cxn modelId="{B18E115B-A4D2-4611-AA57-CBBFD09AD1CA}" type="presOf" srcId="{F700711A-F779-4EA2-9E13-0AF513D5220D}" destId="{F0CF82EA-D537-42BF-A965-5C08F8C0E4E1}" srcOrd="0" destOrd="0" presId="urn:microsoft.com/office/officeart/2005/8/layout/hierarchy3"/>
    <dgm:cxn modelId="{1FAEF160-326E-4E27-85BB-844F74AE8399}" type="presOf" srcId="{B0FF2514-797F-4DD1-8F5C-B187E3CE7D94}" destId="{8FB7169A-96D0-4BC8-91BF-B05450BF8D1C}" srcOrd="0" destOrd="0" presId="urn:microsoft.com/office/officeart/2005/8/layout/hierarchy3"/>
    <dgm:cxn modelId="{1219E342-C362-4C88-AD9D-3BFD8C7C78E4}" srcId="{F3ADD8C5-24C9-4303-AF44-9E7134F3E2E4}" destId="{870A0244-67C4-4B6F-9834-79E0D347361E}" srcOrd="6" destOrd="0" parTransId="{305AC9E2-6F48-44DC-9128-7AC3698BF294}" sibTransId="{8246B163-9754-453A-934F-E77A489D3672}"/>
    <dgm:cxn modelId="{683B5D43-7F2A-4259-BB66-74B09CD52D60}" type="presOf" srcId="{46129FC5-1BF7-48C5-9E62-DA666B953D6D}" destId="{ECFCD275-97BD-4065-A788-D2F8EE644DFD}" srcOrd="0" destOrd="0" presId="urn:microsoft.com/office/officeart/2005/8/layout/hierarchy3"/>
    <dgm:cxn modelId="{A3694865-0EF2-420E-9CF9-46625A279AD6}" type="presOf" srcId="{F3ADD8C5-24C9-4303-AF44-9E7134F3E2E4}" destId="{42585479-A74B-454B-B54E-3CB43919BA36}" srcOrd="0" destOrd="0" presId="urn:microsoft.com/office/officeart/2005/8/layout/hierarchy3"/>
    <dgm:cxn modelId="{F2663E68-A1F1-4F31-9290-DF3D90807631}" type="presOf" srcId="{B7945C9C-9022-4F70-B8B6-DD7D55BBEAB5}" destId="{03F6F915-171E-4B5E-9D29-138FBBFF5D6C}" srcOrd="0" destOrd="0" presId="urn:microsoft.com/office/officeart/2005/8/layout/hierarchy3"/>
    <dgm:cxn modelId="{5219CA48-12F1-4262-8F95-B6B974B52107}" type="presOf" srcId="{257B8BCF-D519-4AD1-B40A-81097B6B437A}" destId="{DDF86709-FA57-4E95-83B9-B0B76294F91F}" srcOrd="0" destOrd="0" presId="urn:microsoft.com/office/officeart/2005/8/layout/hierarchy3"/>
    <dgm:cxn modelId="{8F21526C-80A4-4735-9BC1-B376870A856F}" type="presOf" srcId="{BB21DC80-45AC-4B11-9AE4-AB39EC7000D0}" destId="{BC621A52-76C5-4D7F-A11F-CCD40399D6F2}" srcOrd="0" destOrd="0" presId="urn:microsoft.com/office/officeart/2005/8/layout/hierarchy3"/>
    <dgm:cxn modelId="{2ECD1070-E6D8-45E1-A68A-A2FC50A64B0D}" type="presOf" srcId="{719CBB58-801C-4ABB-9570-4146B9B54B50}" destId="{4AC32581-2B63-4819-9212-E1A8C1C71E40}" srcOrd="0" destOrd="0" presId="urn:microsoft.com/office/officeart/2005/8/layout/hierarchy3"/>
    <dgm:cxn modelId="{3F702470-F423-4BA1-B694-E04293E7ACD8}" srcId="{F3ADD8C5-24C9-4303-AF44-9E7134F3E2E4}" destId="{A1AB9202-22F2-42E9-B3F9-D0767856D171}" srcOrd="1" destOrd="0" parTransId="{76171A00-6BC0-4AF3-8F43-B2CFC78FAE09}" sibTransId="{5BD84908-9203-4DC4-9D5E-781FD65BDA61}"/>
    <dgm:cxn modelId="{3E491952-7688-4D6A-AF14-08758246A474}" type="presOf" srcId="{4138FB55-F0D8-4A14-ADD4-041C6C5F7FFC}" destId="{877F37E2-B24A-4C52-84E5-EFDB920930FD}" srcOrd="0" destOrd="0" presId="urn:microsoft.com/office/officeart/2005/8/layout/hierarchy3"/>
    <dgm:cxn modelId="{3E8B3072-1775-4003-93D5-3BAD5407747C}" type="presOf" srcId="{62CF4893-E5A0-4B8B-A562-272EC45CAEB8}" destId="{356D28C6-C266-4F29-8FF9-FBC1B77FBBA3}" srcOrd="0" destOrd="0" presId="urn:microsoft.com/office/officeart/2005/8/layout/hierarchy3"/>
    <dgm:cxn modelId="{1593F253-B0EB-4976-9206-83B8927BDF4B}" srcId="{66C798F8-CEC6-447E-BFB1-CDC811994867}" destId="{2F82DCAF-4AC2-4D75-A27C-316C4B3C00E5}" srcOrd="0" destOrd="0" parTransId="{02E09C62-B2F0-46E4-B2B3-642238C2B0F8}" sibTransId="{442CC4CC-6812-4B3A-BEFB-5EC8FC29B4A7}"/>
    <dgm:cxn modelId="{38D68654-FF01-4655-863C-8144CD59F25D}" srcId="{F3ADD8C5-24C9-4303-AF44-9E7134F3E2E4}" destId="{66C798F8-CEC6-447E-BFB1-CDC811994867}" srcOrd="0" destOrd="0" parTransId="{C3D53D63-1E5C-4B90-BF48-F64688AE9068}" sibTransId="{6C3876D4-55F8-4E6F-B92B-43AE034E20F7}"/>
    <dgm:cxn modelId="{6E644C75-0147-45B5-9905-91F07F74D4E9}" type="presOf" srcId="{CB2B9E6F-453B-48E4-978A-A23FFDDD2F1E}" destId="{D6242DAE-B9B5-4079-8461-056BA6C0504C}" srcOrd="0" destOrd="0" presId="urn:microsoft.com/office/officeart/2005/8/layout/hierarchy3"/>
    <dgm:cxn modelId="{1673CE57-8972-47DB-9DA3-7A4EF46A933B}" type="presOf" srcId="{CA9A9622-CD25-4B06-9728-70D22200E71C}" destId="{7E080564-BCBD-4384-ACFA-9ADA7F122124}" srcOrd="0" destOrd="0" presId="urn:microsoft.com/office/officeart/2005/8/layout/hierarchy3"/>
    <dgm:cxn modelId="{DB401A7A-A766-47FD-8628-8FCD5F62D89D}" type="presOf" srcId="{38C38245-16CF-4DD4-A7BA-DAE9866BEB3E}" destId="{C950B585-4A3E-4335-88E7-14E791FD9072}" srcOrd="0" destOrd="0" presId="urn:microsoft.com/office/officeart/2005/8/layout/hierarchy3"/>
    <dgm:cxn modelId="{799ED77B-8FC7-4962-8F59-D48C81AEBF5A}" type="presOf" srcId="{2F82DCAF-4AC2-4D75-A27C-316C4B3C00E5}" destId="{E3B990AA-8541-4BDF-B6D1-078D2184A4CB}" srcOrd="0" destOrd="0" presId="urn:microsoft.com/office/officeart/2005/8/layout/hierarchy3"/>
    <dgm:cxn modelId="{2E43E37C-4600-4EE9-B985-D47B76453FC4}" srcId="{870A0244-67C4-4B6F-9834-79E0D347361E}" destId="{257B8BCF-D519-4AD1-B40A-81097B6B437A}" srcOrd="1" destOrd="0" parTransId="{55E8934E-81DD-4F4A-B531-0833AE322D56}" sibTransId="{43BAC9FC-61E3-475C-96C1-904917084E56}"/>
    <dgm:cxn modelId="{EA38F07D-50BC-4DC6-A89F-8B7AFA36274C}" type="presOf" srcId="{1A1A60EF-A7D6-4E8B-A351-71B867DA790C}" destId="{898F3882-49B3-428D-8235-34397EF957E4}" srcOrd="0" destOrd="0" presId="urn:microsoft.com/office/officeart/2005/8/layout/hierarchy3"/>
    <dgm:cxn modelId="{730B0682-841F-49A2-B4E7-11E2C2DFE4EB}" type="presOf" srcId="{41E92581-D2F9-4B10-A861-178704971FE1}" destId="{452CAA51-CB84-4E52-8DCD-F554FA735C22}" srcOrd="0" destOrd="0" presId="urn:microsoft.com/office/officeart/2005/8/layout/hierarchy3"/>
    <dgm:cxn modelId="{51B9FB84-9C87-4451-BB8F-3B26BC1C108A}" srcId="{A1AB9202-22F2-42E9-B3F9-D0767856D171}" destId="{4EA4B776-1CE2-4F7B-9585-FA3A47BAF48C}" srcOrd="1" destOrd="0" parTransId="{AE099C6B-F374-493A-8C91-825C1E3D59CC}" sibTransId="{4B2F8B20-AB58-42E5-A891-5EEA7438A075}"/>
    <dgm:cxn modelId="{FBB90785-0431-4B23-A8CB-B5A16C7FD30D}" type="presOf" srcId="{8A9CCB34-C4F8-420E-AF8F-92EC36BC82B8}" destId="{0B1BDB8C-6AEA-4BB7-89DC-3DD35AEB7D1C}" srcOrd="0" destOrd="0" presId="urn:microsoft.com/office/officeart/2005/8/layout/hierarchy3"/>
    <dgm:cxn modelId="{CF6F6D8F-1FD0-4078-91DA-5B3F1B617087}" type="presOf" srcId="{AFE404AB-A02F-45E8-96D2-08B85C252F08}" destId="{07BEB4C5-9EC9-4C6E-9DE0-25C8CE368A96}" srcOrd="0" destOrd="0" presId="urn:microsoft.com/office/officeart/2005/8/layout/hierarchy3"/>
    <dgm:cxn modelId="{9AC5758F-AFBA-4F00-A67B-85124D305C25}" type="presOf" srcId="{B0047657-63E3-457E-8053-CB312EF407C8}" destId="{28B2C1F0-4879-4F02-B4B1-EDD7E396DDD0}" srcOrd="0" destOrd="0" presId="urn:microsoft.com/office/officeart/2005/8/layout/hierarchy3"/>
    <dgm:cxn modelId="{5437F492-344B-44A0-ACF9-1DC9A962F450}" type="presOf" srcId="{20310A3B-8A88-47BC-A266-250FBE5DD06C}" destId="{17969FEA-F103-4610-A009-7468A9D349A7}" srcOrd="1" destOrd="0" presId="urn:microsoft.com/office/officeart/2005/8/layout/hierarchy3"/>
    <dgm:cxn modelId="{C46A2993-68F4-4466-AADD-08DDD33FCFE0}" type="presOf" srcId="{02E09C62-B2F0-46E4-B2B3-642238C2B0F8}" destId="{6FFD038A-8800-4DA4-94C3-FA83B21C14B3}" srcOrd="0" destOrd="0" presId="urn:microsoft.com/office/officeart/2005/8/layout/hierarchy3"/>
    <dgm:cxn modelId="{CD42EC98-8AF5-411B-88EB-902E2EC3FDE4}" type="presOf" srcId="{EE53311F-F658-465F-A424-35194D3CE036}" destId="{92AE8E0C-E927-4C5B-A06D-FC6E448934C8}" srcOrd="0" destOrd="0" presId="urn:microsoft.com/office/officeart/2005/8/layout/hierarchy3"/>
    <dgm:cxn modelId="{443A159A-A333-4C1D-9307-AD60B1637402}" type="presOf" srcId="{4EA4B776-1CE2-4F7B-9585-FA3A47BAF48C}" destId="{A196CA85-BEF0-4585-9999-06E630C8ADFB}" srcOrd="0" destOrd="0" presId="urn:microsoft.com/office/officeart/2005/8/layout/hierarchy3"/>
    <dgm:cxn modelId="{1AE5009B-F1C9-41D3-A0FD-5808069E54DD}" type="presOf" srcId="{EE9F1235-03A7-4F5B-8B8E-F4E5EF2DEBDC}" destId="{01E5C3A3-F78D-4EE3-A501-C4D26F5FA807}" srcOrd="0" destOrd="0" presId="urn:microsoft.com/office/officeart/2005/8/layout/hierarchy3"/>
    <dgm:cxn modelId="{1AAE3F9C-315F-4836-9BE9-DE65692FBC1C}" type="presOf" srcId="{A1AB9202-22F2-42E9-B3F9-D0767856D171}" destId="{49073FAA-88B6-48D2-A875-52041492B645}" srcOrd="1" destOrd="0" presId="urn:microsoft.com/office/officeart/2005/8/layout/hierarchy3"/>
    <dgm:cxn modelId="{B705F6A4-D6C7-41B1-A03C-F47924DA7279}" type="presOf" srcId="{870A0244-67C4-4B6F-9834-79E0D347361E}" destId="{0A117579-70F3-41AE-A1C3-B6028254055A}" srcOrd="1" destOrd="0" presId="urn:microsoft.com/office/officeart/2005/8/layout/hierarchy3"/>
    <dgm:cxn modelId="{BACFC6AD-5AE0-43BE-8FD6-3ADCC623AD0B}" type="presOf" srcId="{41E92581-D2F9-4B10-A861-178704971FE1}" destId="{E53728AA-433D-4550-8239-D66820C4AB26}" srcOrd="1" destOrd="0" presId="urn:microsoft.com/office/officeart/2005/8/layout/hierarchy3"/>
    <dgm:cxn modelId="{9FD554AE-87B8-41E9-90F3-B2E5920D0658}" srcId="{870A0244-67C4-4B6F-9834-79E0D347361E}" destId="{B0047657-63E3-457E-8053-CB312EF407C8}" srcOrd="2" destOrd="0" parTransId="{D0E6D3C7-348F-4049-BCE6-427AE48CBD7C}" sibTransId="{00828685-BFC6-483E-8D2A-A4701C9AA272}"/>
    <dgm:cxn modelId="{AF6165AF-59A4-4497-9CB9-8EC3D5D12DE0}" srcId="{41E92581-D2F9-4B10-A861-178704971FE1}" destId="{147B57D6-5A64-4F02-AC5E-D98684053679}" srcOrd="0" destOrd="0" parTransId="{D4211725-6B3B-424A-BC59-17FA45EDCC62}" sibTransId="{8977BCAB-8BF8-4AFC-A3A4-CCA227151D32}"/>
    <dgm:cxn modelId="{C2FBD3B4-A387-456B-9082-0B78DAEB7F80}" type="presOf" srcId="{E2B2D7F7-7172-459E-9322-EF5BF68CA875}" destId="{12E17328-10BC-4382-9F95-DDE581E29C2B}" srcOrd="0" destOrd="0" presId="urn:microsoft.com/office/officeart/2005/8/layout/hierarchy3"/>
    <dgm:cxn modelId="{DE7670B6-0964-4996-BEE4-803348B1636A}" srcId="{62CF4893-E5A0-4B8B-A562-272EC45CAEB8}" destId="{C9FFB0AF-3716-4DAE-A0E7-EFAACB2E5D8C}" srcOrd="0" destOrd="0" parTransId="{4138FB55-F0D8-4A14-ADD4-041C6C5F7FFC}" sibTransId="{AA9DDF19-F25C-4637-B584-B56B69D26D19}"/>
    <dgm:cxn modelId="{F25FFCBA-5374-4F8B-8619-5842882FA2E1}" type="presOf" srcId="{AE099C6B-F374-493A-8C91-825C1E3D59CC}" destId="{E1E2E7B1-6187-47CB-A1F1-C09153EDE52D}" srcOrd="0" destOrd="0" presId="urn:microsoft.com/office/officeart/2005/8/layout/hierarchy3"/>
    <dgm:cxn modelId="{C9E0C0BE-1B96-4FF0-A821-2A03353231F1}" srcId="{1A3BFDB4-692F-401F-B95C-45347DF00F81}" destId="{F95C3850-BD63-43D6-9B15-39CA58C393EB}" srcOrd="0" destOrd="0" parTransId="{B0FF2514-797F-4DD1-8F5C-B187E3CE7D94}" sibTransId="{FC33D67A-F9DF-441F-843B-41E4C107C025}"/>
    <dgm:cxn modelId="{C70141C9-2F4E-4188-85BB-B88A5CDE4FFA}" type="presOf" srcId="{66C798F8-CEC6-447E-BFB1-CDC811994867}" destId="{7C1BB649-D799-43CF-A9C6-E9C870AB8535}" srcOrd="1" destOrd="0" presId="urn:microsoft.com/office/officeart/2005/8/layout/hierarchy3"/>
    <dgm:cxn modelId="{D98CD8C9-5AA4-49FE-8A88-1EE0DA3E1F5E}" type="presOf" srcId="{C9FFB0AF-3716-4DAE-A0E7-EFAACB2E5D8C}" destId="{374CC6A0-CB38-42C7-870C-6F16D18EAAB0}" srcOrd="0" destOrd="0" presId="urn:microsoft.com/office/officeart/2005/8/layout/hierarchy3"/>
    <dgm:cxn modelId="{E465DACB-1CC6-4F7C-83A0-5EE3561B5B50}" type="presOf" srcId="{20310A3B-8A88-47BC-A266-250FBE5DD06C}" destId="{0D455415-8905-4215-8806-7F645529B67F}" srcOrd="0" destOrd="0" presId="urn:microsoft.com/office/officeart/2005/8/layout/hierarchy3"/>
    <dgm:cxn modelId="{818D04CD-98FF-422F-B35C-CB0B5F0DA342}" type="presOf" srcId="{55E8934E-81DD-4F4A-B531-0833AE322D56}" destId="{78BEE515-E14E-4BF2-A010-B192BF96C3FA}" srcOrd="0" destOrd="0" presId="urn:microsoft.com/office/officeart/2005/8/layout/hierarchy3"/>
    <dgm:cxn modelId="{76FF72CD-65D5-4AD3-9F01-B4781F65F66D}" srcId="{A1AB9202-22F2-42E9-B3F9-D0767856D171}" destId="{CDA77517-5B0F-4047-A346-0F6309600DBE}" srcOrd="0" destOrd="0" parTransId="{EC1F3298-13D6-4869-8968-5C9C2A04C322}" sibTransId="{4D8609E7-20FE-471A-9747-6474D5A33154}"/>
    <dgm:cxn modelId="{5E7BFFCE-9B10-48A0-92BB-DA6036598876}" srcId="{66C798F8-CEC6-447E-BFB1-CDC811994867}" destId="{CA9A9622-CD25-4B06-9728-70D22200E71C}" srcOrd="2" destOrd="0" parTransId="{2E1F2EA3-85FF-4830-9D82-258DA24607D3}" sibTransId="{8020C4CC-F4B4-464E-9458-C9D91955A046}"/>
    <dgm:cxn modelId="{186F47D0-DDA8-44A9-95FA-0AE34C3A3EFF}" type="presOf" srcId="{FA12B0CF-9F0D-4429-85C6-3180E24F7B3F}" destId="{F30FB74C-968C-4BB4-9F52-E228FD4423C0}" srcOrd="0" destOrd="0" presId="urn:microsoft.com/office/officeart/2005/8/layout/hierarchy3"/>
    <dgm:cxn modelId="{0154D3D1-D10A-4AF2-9520-0D9A473C070B}" srcId="{F3ADD8C5-24C9-4303-AF44-9E7134F3E2E4}" destId="{41E92581-D2F9-4B10-A861-178704971FE1}" srcOrd="5" destOrd="0" parTransId="{95745F6D-A7D2-4E23-A827-153D795F0ABD}" sibTransId="{2F9A472D-7B80-435D-A103-836D63DF3AFA}"/>
    <dgm:cxn modelId="{BB6F1AD7-7750-4804-A73C-4AFA71B23A77}" type="presOf" srcId="{1A3BFDB4-692F-401F-B95C-45347DF00F81}" destId="{0AA5499E-E1FF-4033-A1DD-7E09CBFF4209}" srcOrd="1" destOrd="0" presId="urn:microsoft.com/office/officeart/2005/8/layout/hierarchy3"/>
    <dgm:cxn modelId="{3E0136DE-1991-4F5E-98FB-EFE56F6F1BCE}" srcId="{870A0244-67C4-4B6F-9834-79E0D347361E}" destId="{E2B2D7F7-7172-459E-9322-EF5BF68CA875}" srcOrd="0" destOrd="0" parTransId="{BB21DC80-45AC-4B11-9AE4-AB39EC7000D0}" sibTransId="{215F83D0-EE0D-4B4C-8FFF-EC0E0C2154BC}"/>
    <dgm:cxn modelId="{DDC02ADF-E278-47BD-B6D2-FD891B964992}" srcId="{F3ADD8C5-24C9-4303-AF44-9E7134F3E2E4}" destId="{20310A3B-8A88-47BC-A266-250FBE5DD06C}" srcOrd="4" destOrd="0" parTransId="{AB43E14E-A7C7-4F08-9792-8A98585C4B37}" sibTransId="{EC755C50-0661-4198-92D1-40FE868A1FC8}"/>
    <dgm:cxn modelId="{0D2A44E3-7FFC-465C-A702-260F6BCD8A03}" type="presOf" srcId="{5FF0C058-6D49-4C36-B317-96ECE4BA3E77}" destId="{F150B617-8849-4098-BC4E-EB1612F90585}" srcOrd="0" destOrd="0" presId="urn:microsoft.com/office/officeart/2005/8/layout/hierarchy3"/>
    <dgm:cxn modelId="{49A440EA-7EE1-436A-85E2-9A56A16F0280}" type="presOf" srcId="{D53DE6E4-BD99-45E1-AC8D-EB3CE609A244}" destId="{E2763699-CA17-4BE9-9CED-8DD8BF62376A}" srcOrd="0" destOrd="0" presId="urn:microsoft.com/office/officeart/2005/8/layout/hierarchy3"/>
    <dgm:cxn modelId="{B37B04F3-617F-4259-A514-C670D30CFEE4}" type="presOf" srcId="{A7E52DB7-AEAF-4CBB-B76F-F65037B4720F}" destId="{CDB4CCC0-0223-4ECB-90B0-08154E98DDDF}" srcOrd="0" destOrd="0" presId="urn:microsoft.com/office/officeart/2005/8/layout/hierarchy3"/>
    <dgm:cxn modelId="{E860F4F8-CA80-49B9-ACCA-BBC9714C8A01}" srcId="{1A3BFDB4-692F-401F-B95C-45347DF00F81}" destId="{CB2B9E6F-453B-48E4-978A-A23FFDDD2F1E}" srcOrd="2" destOrd="0" parTransId="{AFE404AB-A02F-45E8-96D2-08B85C252F08}" sibTransId="{A8CE76BC-A2E7-4282-BF73-6B39B8FE33A6}"/>
    <dgm:cxn modelId="{9B3653FA-6110-434C-8BCD-201DA695ACD5}" srcId="{20310A3B-8A88-47BC-A266-250FBE5DD06C}" destId="{A7E52DB7-AEAF-4CBB-B76F-F65037B4720F}" srcOrd="1" destOrd="0" parTransId="{719CBB58-801C-4ABB-9570-4146B9B54B50}" sibTransId="{29AA9CDB-96F8-476C-BCDB-2BE291E960C4}"/>
    <dgm:cxn modelId="{7B5F9CFC-E7FE-4E1B-97FE-FFD05CE91AE1}" type="presOf" srcId="{62CF4893-E5A0-4B8B-A562-272EC45CAEB8}" destId="{B56E4F1D-448E-4921-A386-ABD1E510A982}" srcOrd="1" destOrd="0" presId="urn:microsoft.com/office/officeart/2005/8/layout/hierarchy3"/>
    <dgm:cxn modelId="{562AAEFD-F8A3-43B4-AFC1-C0C00C1B2807}" type="presOf" srcId="{D4211725-6B3B-424A-BC59-17FA45EDCC62}" destId="{F03152B3-860B-4E76-AA48-6434D3E18070}" srcOrd="0" destOrd="0" presId="urn:microsoft.com/office/officeart/2005/8/layout/hierarchy3"/>
    <dgm:cxn modelId="{C3DC75FF-A890-438A-84D7-2E6DB29C6569}" srcId="{66C798F8-CEC6-447E-BFB1-CDC811994867}" destId="{B7945C9C-9022-4F70-B8B6-DD7D55BBEAB5}" srcOrd="1" destOrd="0" parTransId="{46129FC5-1BF7-48C5-9E62-DA666B953D6D}" sibTransId="{DED99512-6F65-4284-BCF2-AFF150DC90E8}"/>
    <dgm:cxn modelId="{450B2658-D426-465B-BEA5-6B58593399E4}" type="presParOf" srcId="{42585479-A74B-454B-B54E-3CB43919BA36}" destId="{B2DD526D-FEA8-4BC1-8D23-FD2FE1DE2D85}" srcOrd="0" destOrd="0" presId="urn:microsoft.com/office/officeart/2005/8/layout/hierarchy3"/>
    <dgm:cxn modelId="{2760B5BE-DE5F-4AD8-9790-D84C6ABDF049}" type="presParOf" srcId="{B2DD526D-FEA8-4BC1-8D23-FD2FE1DE2D85}" destId="{CD487E89-0867-4359-92FF-E0F14E0E33E4}" srcOrd="0" destOrd="0" presId="urn:microsoft.com/office/officeart/2005/8/layout/hierarchy3"/>
    <dgm:cxn modelId="{FE7FAEC9-0BAF-4C6E-8450-C9A77BEBC3AF}" type="presParOf" srcId="{CD487E89-0867-4359-92FF-E0F14E0E33E4}" destId="{701AC7D6-A80B-4F91-A64A-4E1F65AC9E35}" srcOrd="0" destOrd="0" presId="urn:microsoft.com/office/officeart/2005/8/layout/hierarchy3"/>
    <dgm:cxn modelId="{713D92B5-DD97-4AE3-ACA4-1458A90B6790}" type="presParOf" srcId="{CD487E89-0867-4359-92FF-E0F14E0E33E4}" destId="{7C1BB649-D799-43CF-A9C6-E9C870AB8535}" srcOrd="1" destOrd="0" presId="urn:microsoft.com/office/officeart/2005/8/layout/hierarchy3"/>
    <dgm:cxn modelId="{BD362824-A62E-4123-A751-B919F84A124A}" type="presParOf" srcId="{B2DD526D-FEA8-4BC1-8D23-FD2FE1DE2D85}" destId="{09D93CC4-46F1-4230-8B62-4119B9AEDFD5}" srcOrd="1" destOrd="0" presId="urn:microsoft.com/office/officeart/2005/8/layout/hierarchy3"/>
    <dgm:cxn modelId="{B8BB5022-827A-4AE0-A020-F747792FECA0}" type="presParOf" srcId="{09D93CC4-46F1-4230-8B62-4119B9AEDFD5}" destId="{6FFD038A-8800-4DA4-94C3-FA83B21C14B3}" srcOrd="0" destOrd="0" presId="urn:microsoft.com/office/officeart/2005/8/layout/hierarchy3"/>
    <dgm:cxn modelId="{E4D91649-3C96-4C23-BA75-E58C5C8321AA}" type="presParOf" srcId="{09D93CC4-46F1-4230-8B62-4119B9AEDFD5}" destId="{E3B990AA-8541-4BDF-B6D1-078D2184A4CB}" srcOrd="1" destOrd="0" presId="urn:microsoft.com/office/officeart/2005/8/layout/hierarchy3"/>
    <dgm:cxn modelId="{DF484981-6647-4066-9F71-FB9A3CEB4906}" type="presParOf" srcId="{09D93CC4-46F1-4230-8B62-4119B9AEDFD5}" destId="{ECFCD275-97BD-4065-A788-D2F8EE644DFD}" srcOrd="2" destOrd="0" presId="urn:microsoft.com/office/officeart/2005/8/layout/hierarchy3"/>
    <dgm:cxn modelId="{5FA99394-9F0B-419C-8070-ED0BD591AC9B}" type="presParOf" srcId="{09D93CC4-46F1-4230-8B62-4119B9AEDFD5}" destId="{03F6F915-171E-4B5E-9D29-138FBBFF5D6C}" srcOrd="3" destOrd="0" presId="urn:microsoft.com/office/officeart/2005/8/layout/hierarchy3"/>
    <dgm:cxn modelId="{9614B880-424D-4CC8-A921-FE6CA5C2F56D}" type="presParOf" srcId="{09D93CC4-46F1-4230-8B62-4119B9AEDFD5}" destId="{C470430C-D491-4B1A-A5AE-198BA723FA6D}" srcOrd="4" destOrd="0" presId="urn:microsoft.com/office/officeart/2005/8/layout/hierarchy3"/>
    <dgm:cxn modelId="{6A9AFB73-1DF0-4E6E-A019-2D6022507C09}" type="presParOf" srcId="{09D93CC4-46F1-4230-8B62-4119B9AEDFD5}" destId="{7E080564-BCBD-4384-ACFA-9ADA7F122124}" srcOrd="5" destOrd="0" presId="urn:microsoft.com/office/officeart/2005/8/layout/hierarchy3"/>
    <dgm:cxn modelId="{B984C55D-7297-427B-8DB6-ADB3F543A566}" type="presParOf" srcId="{42585479-A74B-454B-B54E-3CB43919BA36}" destId="{3D281CE1-B8BC-4168-A08F-4BF72B11F2AD}" srcOrd="1" destOrd="0" presId="urn:microsoft.com/office/officeart/2005/8/layout/hierarchy3"/>
    <dgm:cxn modelId="{2C4B997B-3EBE-4731-B076-A4458CA197EF}" type="presParOf" srcId="{3D281CE1-B8BC-4168-A08F-4BF72B11F2AD}" destId="{4EAB2F2E-E864-44A7-ABE6-443D683AC9ED}" srcOrd="0" destOrd="0" presId="urn:microsoft.com/office/officeart/2005/8/layout/hierarchy3"/>
    <dgm:cxn modelId="{BC468042-2C84-4769-AFD9-63E14BCF199D}" type="presParOf" srcId="{4EAB2F2E-E864-44A7-ABE6-443D683AC9ED}" destId="{F89E0B94-A133-469C-B6BC-889B9EB462F3}" srcOrd="0" destOrd="0" presId="urn:microsoft.com/office/officeart/2005/8/layout/hierarchy3"/>
    <dgm:cxn modelId="{F95E2839-F707-4094-BA78-DE2F1C271D6A}" type="presParOf" srcId="{4EAB2F2E-E864-44A7-ABE6-443D683AC9ED}" destId="{49073FAA-88B6-48D2-A875-52041492B645}" srcOrd="1" destOrd="0" presId="urn:microsoft.com/office/officeart/2005/8/layout/hierarchy3"/>
    <dgm:cxn modelId="{96089366-0C0E-48F6-BA32-9D92C05081B8}" type="presParOf" srcId="{3D281CE1-B8BC-4168-A08F-4BF72B11F2AD}" destId="{D38FC685-4D4A-4D32-A65E-A86DC15ECC56}" srcOrd="1" destOrd="0" presId="urn:microsoft.com/office/officeart/2005/8/layout/hierarchy3"/>
    <dgm:cxn modelId="{0A46C4D0-E0F8-405C-AA9D-1D476081571C}" type="presParOf" srcId="{D38FC685-4D4A-4D32-A65E-A86DC15ECC56}" destId="{5966057B-77EB-4E04-98C8-321E7D13F5BD}" srcOrd="0" destOrd="0" presId="urn:microsoft.com/office/officeart/2005/8/layout/hierarchy3"/>
    <dgm:cxn modelId="{A276FA82-7045-4533-9A87-3724D5E17100}" type="presParOf" srcId="{D38FC685-4D4A-4D32-A65E-A86DC15ECC56}" destId="{EB356D17-DAC5-4A6D-9B59-4938092268BB}" srcOrd="1" destOrd="0" presId="urn:microsoft.com/office/officeart/2005/8/layout/hierarchy3"/>
    <dgm:cxn modelId="{B49A5482-90A5-46F2-866A-599165148397}" type="presParOf" srcId="{D38FC685-4D4A-4D32-A65E-A86DC15ECC56}" destId="{E1E2E7B1-6187-47CB-A1F1-C09153EDE52D}" srcOrd="2" destOrd="0" presId="urn:microsoft.com/office/officeart/2005/8/layout/hierarchy3"/>
    <dgm:cxn modelId="{E4EEC223-B24A-4F70-928E-F76D96C6C160}" type="presParOf" srcId="{D38FC685-4D4A-4D32-A65E-A86DC15ECC56}" destId="{A196CA85-BEF0-4585-9999-06E630C8ADFB}" srcOrd="3" destOrd="0" presId="urn:microsoft.com/office/officeart/2005/8/layout/hierarchy3"/>
    <dgm:cxn modelId="{6B25171D-2B74-4C73-82EC-CA64C93F0540}" type="presParOf" srcId="{D38FC685-4D4A-4D32-A65E-A86DC15ECC56}" destId="{0FA0E052-7724-4CA3-B659-C88EDD117C61}" srcOrd="4" destOrd="0" presId="urn:microsoft.com/office/officeart/2005/8/layout/hierarchy3"/>
    <dgm:cxn modelId="{2121DCD6-4528-49EE-A708-92AA364B7075}" type="presParOf" srcId="{D38FC685-4D4A-4D32-A65E-A86DC15ECC56}" destId="{F0CF82EA-D537-42BF-A965-5C08F8C0E4E1}" srcOrd="5" destOrd="0" presId="urn:microsoft.com/office/officeart/2005/8/layout/hierarchy3"/>
    <dgm:cxn modelId="{B1BAFF5C-E4C6-47C6-9AB5-AD5797C3B6A7}" type="presParOf" srcId="{42585479-A74B-454B-B54E-3CB43919BA36}" destId="{3E996894-E974-4D8F-90F0-0828163BDCE1}" srcOrd="2" destOrd="0" presId="urn:microsoft.com/office/officeart/2005/8/layout/hierarchy3"/>
    <dgm:cxn modelId="{861ED8CA-0931-4DAF-A4B9-D02936A0FE36}" type="presParOf" srcId="{3E996894-E974-4D8F-90F0-0828163BDCE1}" destId="{4E046D98-2596-400C-9284-D2AA532998D4}" srcOrd="0" destOrd="0" presId="urn:microsoft.com/office/officeart/2005/8/layout/hierarchy3"/>
    <dgm:cxn modelId="{2C9FBA14-1512-4FD8-9347-973137CE4BA9}" type="presParOf" srcId="{4E046D98-2596-400C-9284-D2AA532998D4}" destId="{3FBECFD4-CF00-4E9F-9489-461B0B71DD27}" srcOrd="0" destOrd="0" presId="urn:microsoft.com/office/officeart/2005/8/layout/hierarchy3"/>
    <dgm:cxn modelId="{30277857-FFE9-4514-BD25-F5C4F1640990}" type="presParOf" srcId="{4E046D98-2596-400C-9284-D2AA532998D4}" destId="{0AA5499E-E1FF-4033-A1DD-7E09CBFF4209}" srcOrd="1" destOrd="0" presId="urn:microsoft.com/office/officeart/2005/8/layout/hierarchy3"/>
    <dgm:cxn modelId="{AEE0641D-8DF3-4B78-B429-595691166DFE}" type="presParOf" srcId="{3E996894-E974-4D8F-90F0-0828163BDCE1}" destId="{B74583E3-C123-439A-8114-5A350F1A2494}" srcOrd="1" destOrd="0" presId="urn:microsoft.com/office/officeart/2005/8/layout/hierarchy3"/>
    <dgm:cxn modelId="{E3B55BE1-D632-4A70-90DC-5BEE214A172F}" type="presParOf" srcId="{B74583E3-C123-439A-8114-5A350F1A2494}" destId="{8FB7169A-96D0-4BC8-91BF-B05450BF8D1C}" srcOrd="0" destOrd="0" presId="urn:microsoft.com/office/officeart/2005/8/layout/hierarchy3"/>
    <dgm:cxn modelId="{36D76AB5-3A9A-46EE-8B94-466FD2DBE1F0}" type="presParOf" srcId="{B74583E3-C123-439A-8114-5A350F1A2494}" destId="{28795A13-28AF-45EA-AB0B-96571799092A}" srcOrd="1" destOrd="0" presId="urn:microsoft.com/office/officeart/2005/8/layout/hierarchy3"/>
    <dgm:cxn modelId="{73141508-2B84-4319-AA33-B378E60EDA30}" type="presParOf" srcId="{B74583E3-C123-439A-8114-5A350F1A2494}" destId="{01E5C3A3-F78D-4EE3-A501-C4D26F5FA807}" srcOrd="2" destOrd="0" presId="urn:microsoft.com/office/officeart/2005/8/layout/hierarchy3"/>
    <dgm:cxn modelId="{3EBA0266-BF74-4341-B825-3C6A8CC6F6E3}" type="presParOf" srcId="{B74583E3-C123-439A-8114-5A350F1A2494}" destId="{92AE8E0C-E927-4C5B-A06D-FC6E448934C8}" srcOrd="3" destOrd="0" presId="urn:microsoft.com/office/officeart/2005/8/layout/hierarchy3"/>
    <dgm:cxn modelId="{F7314954-12E8-4223-89EF-3E646B1E085E}" type="presParOf" srcId="{B74583E3-C123-439A-8114-5A350F1A2494}" destId="{07BEB4C5-9EC9-4C6E-9DE0-25C8CE368A96}" srcOrd="4" destOrd="0" presId="urn:microsoft.com/office/officeart/2005/8/layout/hierarchy3"/>
    <dgm:cxn modelId="{F40A345B-388C-4BF2-919B-EA2BDF423F2A}" type="presParOf" srcId="{B74583E3-C123-439A-8114-5A350F1A2494}" destId="{D6242DAE-B9B5-4079-8461-056BA6C0504C}" srcOrd="5" destOrd="0" presId="urn:microsoft.com/office/officeart/2005/8/layout/hierarchy3"/>
    <dgm:cxn modelId="{90BC8C4A-3C8E-42CC-AE8E-EA6F8CA26A9B}" type="presParOf" srcId="{42585479-A74B-454B-B54E-3CB43919BA36}" destId="{339CF876-B33C-4B9B-B017-4FDB361856EE}" srcOrd="3" destOrd="0" presId="urn:microsoft.com/office/officeart/2005/8/layout/hierarchy3"/>
    <dgm:cxn modelId="{812EE71A-E953-4909-9C66-0BE78990B307}" type="presParOf" srcId="{339CF876-B33C-4B9B-B017-4FDB361856EE}" destId="{9F4E26BE-BF55-46FC-8132-06AA45E0E4F6}" srcOrd="0" destOrd="0" presId="urn:microsoft.com/office/officeart/2005/8/layout/hierarchy3"/>
    <dgm:cxn modelId="{7A02EED2-62FE-43AF-AEF5-00940C8F1FE0}" type="presParOf" srcId="{9F4E26BE-BF55-46FC-8132-06AA45E0E4F6}" destId="{356D28C6-C266-4F29-8FF9-FBC1B77FBBA3}" srcOrd="0" destOrd="0" presId="urn:microsoft.com/office/officeart/2005/8/layout/hierarchy3"/>
    <dgm:cxn modelId="{D0ADD4A8-DAFF-4FE3-AC12-889A5517B842}" type="presParOf" srcId="{9F4E26BE-BF55-46FC-8132-06AA45E0E4F6}" destId="{B56E4F1D-448E-4921-A386-ABD1E510A982}" srcOrd="1" destOrd="0" presId="urn:microsoft.com/office/officeart/2005/8/layout/hierarchy3"/>
    <dgm:cxn modelId="{6729342B-A877-46F7-AB73-5E9DCEB54402}" type="presParOf" srcId="{339CF876-B33C-4B9B-B017-4FDB361856EE}" destId="{39BCA854-A7A0-49B9-98A1-5BAFD8CAD6FE}" srcOrd="1" destOrd="0" presId="urn:microsoft.com/office/officeart/2005/8/layout/hierarchy3"/>
    <dgm:cxn modelId="{F24D21C3-B93E-4A19-A207-67535754AEA3}" type="presParOf" srcId="{39BCA854-A7A0-49B9-98A1-5BAFD8CAD6FE}" destId="{877F37E2-B24A-4C52-84E5-EFDB920930FD}" srcOrd="0" destOrd="0" presId="urn:microsoft.com/office/officeart/2005/8/layout/hierarchy3"/>
    <dgm:cxn modelId="{2C111A84-A0B6-448C-BE09-9D9A043EB9E6}" type="presParOf" srcId="{39BCA854-A7A0-49B9-98A1-5BAFD8CAD6FE}" destId="{374CC6A0-CB38-42C7-870C-6F16D18EAAB0}" srcOrd="1" destOrd="0" presId="urn:microsoft.com/office/officeart/2005/8/layout/hierarchy3"/>
    <dgm:cxn modelId="{CA7167CD-0D98-4D93-96AE-B935BDF2D859}" type="presParOf" srcId="{39BCA854-A7A0-49B9-98A1-5BAFD8CAD6FE}" destId="{0B1BDB8C-6AEA-4BB7-89DC-3DD35AEB7D1C}" srcOrd="2" destOrd="0" presId="urn:microsoft.com/office/officeart/2005/8/layout/hierarchy3"/>
    <dgm:cxn modelId="{3BFA686F-F6B0-4A72-A61A-0DAD140B7D96}" type="presParOf" srcId="{39BCA854-A7A0-49B9-98A1-5BAFD8CAD6FE}" destId="{898F3882-49B3-428D-8235-34397EF957E4}" srcOrd="3" destOrd="0" presId="urn:microsoft.com/office/officeart/2005/8/layout/hierarchy3"/>
    <dgm:cxn modelId="{AF345191-8793-4DB2-BFC7-FEE7CD882BAD}" type="presParOf" srcId="{42585479-A74B-454B-B54E-3CB43919BA36}" destId="{C4D5A2D2-1077-4B18-BE2C-2B8A8FEA5914}" srcOrd="4" destOrd="0" presId="urn:microsoft.com/office/officeart/2005/8/layout/hierarchy3"/>
    <dgm:cxn modelId="{8EF75565-7235-42B5-9B5C-85CC057D8181}" type="presParOf" srcId="{C4D5A2D2-1077-4B18-BE2C-2B8A8FEA5914}" destId="{DD57A137-F2A6-4146-B699-3981A74D3A24}" srcOrd="0" destOrd="0" presId="urn:microsoft.com/office/officeart/2005/8/layout/hierarchy3"/>
    <dgm:cxn modelId="{F18B3785-F7CF-4292-987C-AC8A3EFCA8CD}" type="presParOf" srcId="{DD57A137-F2A6-4146-B699-3981A74D3A24}" destId="{0D455415-8905-4215-8806-7F645529B67F}" srcOrd="0" destOrd="0" presId="urn:microsoft.com/office/officeart/2005/8/layout/hierarchy3"/>
    <dgm:cxn modelId="{9F50C8A8-3EF4-4535-AB7A-F14913F3C7AC}" type="presParOf" srcId="{DD57A137-F2A6-4146-B699-3981A74D3A24}" destId="{17969FEA-F103-4610-A009-7468A9D349A7}" srcOrd="1" destOrd="0" presId="urn:microsoft.com/office/officeart/2005/8/layout/hierarchy3"/>
    <dgm:cxn modelId="{0066974E-3F2C-4E13-B272-10B36A01E811}" type="presParOf" srcId="{C4D5A2D2-1077-4B18-BE2C-2B8A8FEA5914}" destId="{6692A4DF-5EB6-4C0F-B04C-11F36C9D6F6E}" srcOrd="1" destOrd="0" presId="urn:microsoft.com/office/officeart/2005/8/layout/hierarchy3"/>
    <dgm:cxn modelId="{6BF7A07D-B294-4DDB-8CEF-8046DFBB65DA}" type="presParOf" srcId="{6692A4DF-5EB6-4C0F-B04C-11F36C9D6F6E}" destId="{E2763699-CA17-4BE9-9CED-8DD8BF62376A}" srcOrd="0" destOrd="0" presId="urn:microsoft.com/office/officeart/2005/8/layout/hierarchy3"/>
    <dgm:cxn modelId="{F73EA37C-15E6-4E68-903C-98AA1BA468BF}" type="presParOf" srcId="{6692A4DF-5EB6-4C0F-B04C-11F36C9D6F6E}" destId="{F150B617-8849-4098-BC4E-EB1612F90585}" srcOrd="1" destOrd="0" presId="urn:microsoft.com/office/officeart/2005/8/layout/hierarchy3"/>
    <dgm:cxn modelId="{5AB415AB-5BBF-4D48-935A-8CE3B9319CCC}" type="presParOf" srcId="{6692A4DF-5EB6-4C0F-B04C-11F36C9D6F6E}" destId="{4AC32581-2B63-4819-9212-E1A8C1C71E40}" srcOrd="2" destOrd="0" presId="urn:microsoft.com/office/officeart/2005/8/layout/hierarchy3"/>
    <dgm:cxn modelId="{ECB69F24-33E5-4FC0-878B-A38C5234587A}" type="presParOf" srcId="{6692A4DF-5EB6-4C0F-B04C-11F36C9D6F6E}" destId="{CDB4CCC0-0223-4ECB-90B0-08154E98DDDF}" srcOrd="3" destOrd="0" presId="urn:microsoft.com/office/officeart/2005/8/layout/hierarchy3"/>
    <dgm:cxn modelId="{1734CEDE-B0D8-4CE0-8275-359AACF6FEE8}" type="presParOf" srcId="{42585479-A74B-454B-B54E-3CB43919BA36}" destId="{55BD0FB0-5F65-4975-85BE-AA982A0B297E}" srcOrd="5" destOrd="0" presId="urn:microsoft.com/office/officeart/2005/8/layout/hierarchy3"/>
    <dgm:cxn modelId="{337A6188-E9B0-4652-BE26-64EF39EA7C46}" type="presParOf" srcId="{55BD0FB0-5F65-4975-85BE-AA982A0B297E}" destId="{A7365802-64A6-4991-A5FC-663179CCEC82}" srcOrd="0" destOrd="0" presId="urn:microsoft.com/office/officeart/2005/8/layout/hierarchy3"/>
    <dgm:cxn modelId="{C574663B-94A8-4C27-9A5F-0320EF369003}" type="presParOf" srcId="{A7365802-64A6-4991-A5FC-663179CCEC82}" destId="{452CAA51-CB84-4E52-8DCD-F554FA735C22}" srcOrd="0" destOrd="0" presId="urn:microsoft.com/office/officeart/2005/8/layout/hierarchy3"/>
    <dgm:cxn modelId="{2EDAE9B2-E51F-4B1A-B2F8-6B7390573B0E}" type="presParOf" srcId="{A7365802-64A6-4991-A5FC-663179CCEC82}" destId="{E53728AA-433D-4550-8239-D66820C4AB26}" srcOrd="1" destOrd="0" presId="urn:microsoft.com/office/officeart/2005/8/layout/hierarchy3"/>
    <dgm:cxn modelId="{6BA04FDC-5A3A-4D78-B54A-4D0BB56F95B4}" type="presParOf" srcId="{55BD0FB0-5F65-4975-85BE-AA982A0B297E}" destId="{698B6AEE-DCD3-4E13-B4AC-885DD34E4D36}" srcOrd="1" destOrd="0" presId="urn:microsoft.com/office/officeart/2005/8/layout/hierarchy3"/>
    <dgm:cxn modelId="{756D173B-4112-4B67-A7AE-D3A5C422C398}" type="presParOf" srcId="{698B6AEE-DCD3-4E13-B4AC-885DD34E4D36}" destId="{F03152B3-860B-4E76-AA48-6434D3E18070}" srcOrd="0" destOrd="0" presId="urn:microsoft.com/office/officeart/2005/8/layout/hierarchy3"/>
    <dgm:cxn modelId="{98438CB0-2675-47B0-8C47-FB0177156BA0}" type="presParOf" srcId="{698B6AEE-DCD3-4E13-B4AC-885DD34E4D36}" destId="{C4CAFCF2-AD5B-4CC0-B0BA-2C256AC6269E}" srcOrd="1" destOrd="0" presId="urn:microsoft.com/office/officeart/2005/8/layout/hierarchy3"/>
    <dgm:cxn modelId="{CAC402EB-B6A2-412C-AAC5-881C278A49F0}" type="presParOf" srcId="{698B6AEE-DCD3-4E13-B4AC-885DD34E4D36}" destId="{F30FB74C-968C-4BB4-9F52-E228FD4423C0}" srcOrd="2" destOrd="0" presId="urn:microsoft.com/office/officeart/2005/8/layout/hierarchy3"/>
    <dgm:cxn modelId="{5382A91B-B64D-427F-A9CA-1CB903A5C224}" type="presParOf" srcId="{698B6AEE-DCD3-4E13-B4AC-885DD34E4D36}" destId="{C950B585-4A3E-4335-88E7-14E791FD9072}" srcOrd="3" destOrd="0" presId="urn:microsoft.com/office/officeart/2005/8/layout/hierarchy3"/>
    <dgm:cxn modelId="{1BBAEC37-0E26-4A46-A499-79B7CED9178F}" type="presParOf" srcId="{42585479-A74B-454B-B54E-3CB43919BA36}" destId="{09FB7ECE-88F8-4886-9429-A3995C342A55}" srcOrd="6" destOrd="0" presId="urn:microsoft.com/office/officeart/2005/8/layout/hierarchy3"/>
    <dgm:cxn modelId="{9F1E22B9-A23A-45E9-A4EF-D6507DD68879}" type="presParOf" srcId="{09FB7ECE-88F8-4886-9429-A3995C342A55}" destId="{80707F68-FDC8-4099-85BA-C121D8BDEF16}" srcOrd="0" destOrd="0" presId="urn:microsoft.com/office/officeart/2005/8/layout/hierarchy3"/>
    <dgm:cxn modelId="{A7103444-B51D-4BD4-B612-5B21F647E43F}" type="presParOf" srcId="{80707F68-FDC8-4099-85BA-C121D8BDEF16}" destId="{296F2AFB-89D2-4A45-A2AA-53CBACE4B779}" srcOrd="0" destOrd="0" presId="urn:microsoft.com/office/officeart/2005/8/layout/hierarchy3"/>
    <dgm:cxn modelId="{074DC214-8383-4590-A05D-3E010E0D23F9}" type="presParOf" srcId="{80707F68-FDC8-4099-85BA-C121D8BDEF16}" destId="{0A117579-70F3-41AE-A1C3-B6028254055A}" srcOrd="1" destOrd="0" presId="urn:microsoft.com/office/officeart/2005/8/layout/hierarchy3"/>
    <dgm:cxn modelId="{106044FD-8ACD-4E65-B606-FC93AFDDE6D3}" type="presParOf" srcId="{09FB7ECE-88F8-4886-9429-A3995C342A55}" destId="{4EF140B7-246E-4D90-A558-5203DCA45E63}" srcOrd="1" destOrd="0" presId="urn:microsoft.com/office/officeart/2005/8/layout/hierarchy3"/>
    <dgm:cxn modelId="{BF24CD0F-1C5C-487F-9B01-1A74193BA0DC}" type="presParOf" srcId="{4EF140B7-246E-4D90-A558-5203DCA45E63}" destId="{BC621A52-76C5-4D7F-A11F-CCD40399D6F2}" srcOrd="0" destOrd="0" presId="urn:microsoft.com/office/officeart/2005/8/layout/hierarchy3"/>
    <dgm:cxn modelId="{654191AC-6B19-46FB-BE75-E6D4A8AB361D}" type="presParOf" srcId="{4EF140B7-246E-4D90-A558-5203DCA45E63}" destId="{12E17328-10BC-4382-9F95-DDE581E29C2B}" srcOrd="1" destOrd="0" presId="urn:microsoft.com/office/officeart/2005/8/layout/hierarchy3"/>
    <dgm:cxn modelId="{6CAFC247-AEAE-464A-A9F4-87C0CCEBC112}" type="presParOf" srcId="{4EF140B7-246E-4D90-A558-5203DCA45E63}" destId="{78BEE515-E14E-4BF2-A010-B192BF96C3FA}" srcOrd="2" destOrd="0" presId="urn:microsoft.com/office/officeart/2005/8/layout/hierarchy3"/>
    <dgm:cxn modelId="{74F86752-6796-455B-B2B6-C4F05539C0AE}" type="presParOf" srcId="{4EF140B7-246E-4D90-A558-5203DCA45E63}" destId="{DDF86709-FA57-4E95-83B9-B0B76294F91F}" srcOrd="3" destOrd="0" presId="urn:microsoft.com/office/officeart/2005/8/layout/hierarchy3"/>
    <dgm:cxn modelId="{11FD45BA-DA73-4284-8644-44AA2C4CD5C6}" type="presParOf" srcId="{4EF140B7-246E-4D90-A558-5203DCA45E63}" destId="{2FA7FD7D-6477-4BB1-A6BE-809D01C437ED}" srcOrd="4" destOrd="0" presId="urn:microsoft.com/office/officeart/2005/8/layout/hierarchy3"/>
    <dgm:cxn modelId="{4A2C5C90-BBBB-4CD6-87A9-17BDE2E92DA7}" type="presParOf" srcId="{4EF140B7-246E-4D90-A558-5203DCA45E63}" destId="{28B2C1F0-4879-4F02-B4B1-EDD7E396DDD0}" srcOrd="5" destOrd="0" presId="urn:microsoft.com/office/officeart/2005/8/layout/hierarchy3"/>
  </dgm:cxnLst>
  <dgm:bg/>
  <dgm:whole/>
  <dgm:extLst>
    <a:ext uri="http://schemas.microsoft.com/office/drawing/2008/diagram">
      <dsp:dataModelExt xmlns:dsp="http://schemas.microsoft.com/office/drawing/2008/diagram" relId="rId1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drawing2.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142B826C-0799-46B9-9DAA-54977CCC5C8E}">
      <dsp:nvSpPr>
        <dsp:cNvPr id="0" name=""/>
        <dsp:cNvSpPr/>
      </dsp:nvSpPr>
      <dsp:spPr>
        <a:xfrm rot="16200000">
          <a:off x="1447" y="2648"/>
          <a:ext cx="2507623" cy="2509303"/>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Well constructed, clays, good foundation, armoring and bank protection</a:t>
          </a:r>
        </a:p>
      </dsp:txBody>
      <dsp:txXfrm rot="5400000">
        <a:off x="439441" y="630394"/>
        <a:ext cx="2070469" cy="1253811"/>
      </dsp:txXfrm>
    </dsp:sp>
    <dsp:sp modelId="{A55DCDA7-2289-4D60-AE87-75A4FB408E9F}">
      <dsp:nvSpPr>
        <dsp:cNvPr id="0" name=""/>
        <dsp:cNvSpPr/>
      </dsp:nvSpPr>
      <dsp:spPr>
        <a:xfrm rot="5400000">
          <a:off x="5882453" y="566"/>
          <a:ext cx="2507623" cy="2513466"/>
        </a:xfrm>
        <a:prstGeom prst="upArrow">
          <a:avLst>
            <a:gd name="adj1" fmla="val 50000"/>
            <a:gd name="adj2" fmla="val 35000"/>
          </a:avLst>
        </a:prstGeom>
        <a:solidFill>
          <a:schemeClr val="accent1">
            <a:hueOff val="0"/>
            <a:satOff val="0"/>
            <a:lumOff val="0"/>
            <a:alphaOff val="0"/>
          </a:schemeClr>
        </a:solidFill>
        <a:ln w="19050" cap="flat" cmpd="sng" algn="ctr">
          <a:solidFill>
            <a:schemeClr val="lt1">
              <a:hueOff val="0"/>
              <a:satOff val="0"/>
              <a:lumOff val="0"/>
              <a:alphaOff val="0"/>
            </a:schemeClr>
          </a:solidFill>
          <a:prstDash val="solid"/>
          <a:miter lim="800000"/>
        </a:ln>
        <a:effectLst/>
      </dsp:spPr>
      <dsp:style>
        <a:lnRef idx="3">
          <a:scrgbClr r="0" g="0" b="0"/>
        </a:lnRef>
        <a:fillRef idx="1">
          <a:scrgbClr r="0" g="0" b="0"/>
        </a:fillRef>
        <a:effectRef idx="1">
          <a:scrgbClr r="0" g="0" b="0"/>
        </a:effectRef>
        <a:fontRef idx="minor">
          <a:schemeClr val="lt1"/>
        </a:fontRef>
      </dsp:style>
      <dsp:txBody>
        <a:bodyPr spcFirstLastPara="0" vert="horz" wrap="square" lIns="113792" tIns="113792" rIns="113792" bIns="113792" numCol="1" spcCol="1270" anchor="ctr" anchorCtr="0">
          <a:noAutofit/>
        </a:bodyPr>
        <a:lstStyle/>
        <a:p>
          <a:pPr marL="0" lvl="0" indent="0" algn="ctr" defTabSz="711200">
            <a:lnSpc>
              <a:spcPct val="90000"/>
            </a:lnSpc>
            <a:spcBef>
              <a:spcPct val="0"/>
            </a:spcBef>
            <a:spcAft>
              <a:spcPct val="35000"/>
            </a:spcAft>
            <a:buNone/>
          </a:pPr>
          <a:r>
            <a:rPr lang="en-US" sz="1600" kern="1200"/>
            <a:t>badly constructed, sand, poor foundation, no protection</a:t>
          </a:r>
        </a:p>
      </dsp:txBody>
      <dsp:txXfrm rot="-5400000">
        <a:off x="5879532" y="630393"/>
        <a:ext cx="2074632" cy="1253811"/>
      </dsp:txXfrm>
    </dsp:sp>
  </dsp:spTree>
</dsp:drawing>
</file>

<file path=xl/diagrams/drawing3.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701AC7D6-A80B-4F91-A64A-4E1F65AC9E35}">
      <dsp:nvSpPr>
        <dsp:cNvPr id="0" name=""/>
        <dsp:cNvSpPr/>
      </dsp:nvSpPr>
      <dsp:spPr>
        <a:xfrm>
          <a:off x="3510"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 to 0.5</a:t>
          </a:r>
        </a:p>
      </dsp:txBody>
      <dsp:txXfrm>
        <a:off x="18743" y="823107"/>
        <a:ext cx="1009734" cy="489634"/>
      </dsp:txXfrm>
    </dsp:sp>
    <dsp:sp modelId="{6FFD038A-8800-4DA4-94C3-FA83B21C14B3}">
      <dsp:nvSpPr>
        <dsp:cNvPr id="0" name=""/>
        <dsp:cNvSpPr/>
      </dsp:nvSpPr>
      <dsp:spPr>
        <a:xfrm>
          <a:off x="107530"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B990AA-8541-4BDF-B6D1-078D2184A4CB}">
      <dsp:nvSpPr>
        <dsp:cNvPr id="0" name=""/>
        <dsp:cNvSpPr/>
      </dsp:nvSpPr>
      <dsp:spPr>
        <a:xfrm>
          <a:off x="211550"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0.22 Average Value Wolf Creek HET</a:t>
          </a:r>
        </a:p>
      </dsp:txBody>
      <dsp:txXfrm>
        <a:off x="226783" y="1473232"/>
        <a:ext cx="801694" cy="489634"/>
      </dsp:txXfrm>
    </dsp:sp>
    <dsp:sp modelId="{ECFCD275-97BD-4065-A788-D2F8EE644DFD}">
      <dsp:nvSpPr>
        <dsp:cNvPr id="0" name=""/>
        <dsp:cNvSpPr/>
      </dsp:nvSpPr>
      <dsp:spPr>
        <a:xfrm>
          <a:off x="107530"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F6F915-171E-4B5E-9D29-138FBBFF5D6C}">
      <dsp:nvSpPr>
        <dsp:cNvPr id="0" name=""/>
        <dsp:cNvSpPr/>
      </dsp:nvSpPr>
      <dsp:spPr>
        <a:xfrm>
          <a:off x="211550"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0.11- Wolf Creek JET</a:t>
          </a:r>
        </a:p>
      </dsp:txBody>
      <dsp:txXfrm>
        <a:off x="226783" y="2123358"/>
        <a:ext cx="801694" cy="489634"/>
      </dsp:txXfrm>
    </dsp:sp>
    <dsp:sp modelId="{C470430C-D491-4B1A-A5AE-198BA723FA6D}">
      <dsp:nvSpPr>
        <dsp:cNvPr id="0" name=""/>
        <dsp:cNvSpPr/>
      </dsp:nvSpPr>
      <dsp:spPr>
        <a:xfrm>
          <a:off x="107530"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080564-BCBD-4384-ACFA-9ADA7F122124}">
      <dsp:nvSpPr>
        <dsp:cNvPr id="0" name=""/>
        <dsp:cNvSpPr/>
      </dsp:nvSpPr>
      <dsp:spPr>
        <a:xfrm>
          <a:off x="211550"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0.42 Average Value Midwest Levees</a:t>
          </a:r>
        </a:p>
      </dsp:txBody>
      <dsp:txXfrm>
        <a:off x="226783" y="2773483"/>
        <a:ext cx="801694" cy="489634"/>
      </dsp:txXfrm>
    </dsp:sp>
    <dsp:sp modelId="{F89E0B94-A133-469C-B6BC-889B9EB462F3}">
      <dsp:nvSpPr>
        <dsp:cNvPr id="0" name=""/>
        <dsp:cNvSpPr/>
      </dsp:nvSpPr>
      <dsp:spPr>
        <a:xfrm>
          <a:off x="130376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0.5 to 1.5</a:t>
          </a:r>
        </a:p>
      </dsp:txBody>
      <dsp:txXfrm>
        <a:off x="1318994" y="823107"/>
        <a:ext cx="1009734" cy="489634"/>
      </dsp:txXfrm>
    </dsp:sp>
    <dsp:sp modelId="{5966057B-77EB-4E04-98C8-321E7D13F5BD}">
      <dsp:nvSpPr>
        <dsp:cNvPr id="0" name=""/>
        <dsp:cNvSpPr/>
      </dsp:nvSpPr>
      <dsp:spPr>
        <a:xfrm>
          <a:off x="140778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B356D17-DAC5-4A6D-9B59-4938092268BB}">
      <dsp:nvSpPr>
        <dsp:cNvPr id="0" name=""/>
        <dsp:cNvSpPr/>
      </dsp:nvSpPr>
      <dsp:spPr>
        <a:xfrm>
          <a:off x="151180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0.8- Upper Value- Midwest Levee Breaches</a:t>
          </a:r>
        </a:p>
      </dsp:txBody>
      <dsp:txXfrm>
        <a:off x="1527034" y="1473232"/>
        <a:ext cx="801694" cy="489634"/>
      </dsp:txXfrm>
    </dsp:sp>
    <dsp:sp modelId="{E1E2E7B1-6187-47CB-A1F1-C09153EDE52D}">
      <dsp:nvSpPr>
        <dsp:cNvPr id="0" name=""/>
        <dsp:cNvSpPr/>
      </dsp:nvSpPr>
      <dsp:spPr>
        <a:xfrm>
          <a:off x="140778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96CA85-BEF0-4585-9999-06E630C8ADFB}">
      <dsp:nvSpPr>
        <dsp:cNvPr id="0" name=""/>
        <dsp:cNvSpPr/>
      </dsp:nvSpPr>
      <dsp:spPr>
        <a:xfrm>
          <a:off x="151180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0.91 Upper Value Wolf Creek JET</a:t>
          </a:r>
        </a:p>
      </dsp:txBody>
      <dsp:txXfrm>
        <a:off x="1527034" y="2123358"/>
        <a:ext cx="801694" cy="489634"/>
      </dsp:txXfrm>
    </dsp:sp>
    <dsp:sp modelId="{0FA0E052-7724-4CA3-B659-C88EDD117C61}">
      <dsp:nvSpPr>
        <dsp:cNvPr id="0" name=""/>
        <dsp:cNvSpPr/>
      </dsp:nvSpPr>
      <dsp:spPr>
        <a:xfrm>
          <a:off x="140778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0CF82EA-D537-42BF-A965-5C08F8C0E4E1}">
      <dsp:nvSpPr>
        <dsp:cNvPr id="0" name=""/>
        <dsp:cNvSpPr/>
      </dsp:nvSpPr>
      <dsp:spPr>
        <a:xfrm>
          <a:off x="151180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1.3- Avg CH TAMU</a:t>
          </a:r>
        </a:p>
      </dsp:txBody>
      <dsp:txXfrm>
        <a:off x="1527034" y="2773483"/>
        <a:ext cx="801694" cy="489634"/>
      </dsp:txXfrm>
    </dsp:sp>
    <dsp:sp modelId="{3FBECFD4-CF00-4E9F-9489-461B0B71DD27}">
      <dsp:nvSpPr>
        <dsp:cNvPr id="0" name=""/>
        <dsp:cNvSpPr/>
      </dsp:nvSpPr>
      <dsp:spPr>
        <a:xfrm>
          <a:off x="2604011"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15</a:t>
          </a:r>
        </a:p>
      </dsp:txBody>
      <dsp:txXfrm>
        <a:off x="2619244" y="823107"/>
        <a:ext cx="1009734" cy="489634"/>
      </dsp:txXfrm>
    </dsp:sp>
    <dsp:sp modelId="{8FB7169A-96D0-4BC8-91BF-B05450BF8D1C}">
      <dsp:nvSpPr>
        <dsp:cNvPr id="0" name=""/>
        <dsp:cNvSpPr/>
      </dsp:nvSpPr>
      <dsp:spPr>
        <a:xfrm>
          <a:off x="2708031"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795A13-28AF-45EA-AB0B-96571799092A}">
      <dsp:nvSpPr>
        <dsp:cNvPr id="0" name=""/>
        <dsp:cNvSpPr/>
      </dsp:nvSpPr>
      <dsp:spPr>
        <a:xfrm>
          <a:off x="2812051"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1.93 - Avg-CL TAMU</a:t>
          </a:r>
        </a:p>
      </dsp:txBody>
      <dsp:txXfrm>
        <a:off x="2827284" y="1473232"/>
        <a:ext cx="801694" cy="489634"/>
      </dsp:txXfrm>
    </dsp:sp>
    <dsp:sp modelId="{01E5C3A3-F78D-4EE3-A501-C4D26F5FA807}">
      <dsp:nvSpPr>
        <dsp:cNvPr id="0" name=""/>
        <dsp:cNvSpPr/>
      </dsp:nvSpPr>
      <dsp:spPr>
        <a:xfrm>
          <a:off x="2708031"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2AE8E0C-E927-4C5B-A06D-FC6E448934C8}">
      <dsp:nvSpPr>
        <dsp:cNvPr id="0" name=""/>
        <dsp:cNvSpPr/>
      </dsp:nvSpPr>
      <dsp:spPr>
        <a:xfrm>
          <a:off x="2812051"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2.78- Avg MH TAMU</a:t>
          </a:r>
        </a:p>
      </dsp:txBody>
      <dsp:txXfrm>
        <a:off x="2827284" y="2123358"/>
        <a:ext cx="801694" cy="489634"/>
      </dsp:txXfrm>
    </dsp:sp>
    <dsp:sp modelId="{07BEB4C5-9EC9-4C6E-9DE0-25C8CE368A96}">
      <dsp:nvSpPr>
        <dsp:cNvPr id="0" name=""/>
        <dsp:cNvSpPr/>
      </dsp:nvSpPr>
      <dsp:spPr>
        <a:xfrm>
          <a:off x="2708031"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42DAE-B9B5-4079-8461-056BA6C0504C}">
      <dsp:nvSpPr>
        <dsp:cNvPr id="0" name=""/>
        <dsp:cNvSpPr/>
      </dsp:nvSpPr>
      <dsp:spPr>
        <a:xfrm>
          <a:off x="2812051"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8.27- Avg ML TAMU</a:t>
          </a:r>
        </a:p>
      </dsp:txBody>
      <dsp:txXfrm>
        <a:off x="2827284" y="2773483"/>
        <a:ext cx="801694" cy="489634"/>
      </dsp:txXfrm>
    </dsp:sp>
    <dsp:sp modelId="{356D28C6-C266-4F29-8FF9-FBC1B77FBBA3}">
      <dsp:nvSpPr>
        <dsp:cNvPr id="0" name=""/>
        <dsp:cNvSpPr/>
      </dsp:nvSpPr>
      <dsp:spPr>
        <a:xfrm>
          <a:off x="390426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15 to 40</a:t>
          </a:r>
        </a:p>
      </dsp:txBody>
      <dsp:txXfrm>
        <a:off x="3919495" y="823107"/>
        <a:ext cx="1009734" cy="489634"/>
      </dsp:txXfrm>
    </dsp:sp>
    <dsp:sp modelId="{877F37E2-B24A-4C52-84E5-EFDB920930FD}">
      <dsp:nvSpPr>
        <dsp:cNvPr id="0" name=""/>
        <dsp:cNvSpPr/>
      </dsp:nvSpPr>
      <dsp:spPr>
        <a:xfrm>
          <a:off x="400828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74CC6A0-CB38-42C7-870C-6F16D18EAAB0}">
      <dsp:nvSpPr>
        <dsp:cNvPr id="0" name=""/>
        <dsp:cNvSpPr/>
      </dsp:nvSpPr>
      <dsp:spPr>
        <a:xfrm>
          <a:off x="411230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16.6- Fines (Robbins)</a:t>
          </a:r>
        </a:p>
      </dsp:txBody>
      <dsp:txXfrm>
        <a:off x="4127535" y="1473232"/>
        <a:ext cx="801694" cy="489634"/>
      </dsp:txXfrm>
    </dsp:sp>
    <dsp:sp modelId="{0B1BDB8C-6AEA-4BB7-89DC-3DD35AEB7D1C}">
      <dsp:nvSpPr>
        <dsp:cNvPr id="0" name=""/>
        <dsp:cNvSpPr/>
      </dsp:nvSpPr>
      <dsp:spPr>
        <a:xfrm>
          <a:off x="400828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98F3882-49B3-428D-8235-34397EF957E4}">
      <dsp:nvSpPr>
        <dsp:cNvPr id="0" name=""/>
        <dsp:cNvSpPr/>
      </dsp:nvSpPr>
      <dsp:spPr>
        <a:xfrm>
          <a:off x="411230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36.9-Average Value Katrina</a:t>
          </a:r>
        </a:p>
      </dsp:txBody>
      <dsp:txXfrm>
        <a:off x="4127535" y="2123358"/>
        <a:ext cx="801694" cy="489634"/>
      </dsp:txXfrm>
    </dsp:sp>
    <dsp:sp modelId="{0D455415-8905-4215-8806-7F645529B67F}">
      <dsp:nvSpPr>
        <dsp:cNvPr id="0" name=""/>
        <dsp:cNvSpPr/>
      </dsp:nvSpPr>
      <dsp:spPr>
        <a:xfrm>
          <a:off x="5204512"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40 to 100</a:t>
          </a:r>
        </a:p>
      </dsp:txBody>
      <dsp:txXfrm>
        <a:off x="5219745" y="823107"/>
        <a:ext cx="1009734" cy="489634"/>
      </dsp:txXfrm>
    </dsp:sp>
    <dsp:sp modelId="{E2763699-CA17-4BE9-9CED-8DD8BF62376A}">
      <dsp:nvSpPr>
        <dsp:cNvPr id="0" name=""/>
        <dsp:cNvSpPr/>
      </dsp:nvSpPr>
      <dsp:spPr>
        <a:xfrm>
          <a:off x="5308532"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50B617-8849-4098-BC4E-EB1612F90585}">
      <dsp:nvSpPr>
        <dsp:cNvPr id="0" name=""/>
        <dsp:cNvSpPr/>
      </dsp:nvSpPr>
      <dsp:spPr>
        <a:xfrm>
          <a:off x="5412552"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45.55 Sand TAMU</a:t>
          </a:r>
        </a:p>
      </dsp:txBody>
      <dsp:txXfrm>
        <a:off x="5427785" y="1473232"/>
        <a:ext cx="801694" cy="489634"/>
      </dsp:txXfrm>
    </dsp:sp>
    <dsp:sp modelId="{4AC32581-2B63-4819-9212-E1A8C1C71E40}">
      <dsp:nvSpPr>
        <dsp:cNvPr id="0" name=""/>
        <dsp:cNvSpPr/>
      </dsp:nvSpPr>
      <dsp:spPr>
        <a:xfrm>
          <a:off x="5308532"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DB4CCC0-0223-4ECB-90B0-08154E98DDDF}">
      <dsp:nvSpPr>
        <dsp:cNvPr id="0" name=""/>
        <dsp:cNvSpPr/>
      </dsp:nvSpPr>
      <dsp:spPr>
        <a:xfrm>
          <a:off x="5412552"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75.1 Teton Dam Revisit Average Value</a:t>
          </a:r>
        </a:p>
      </dsp:txBody>
      <dsp:txXfrm>
        <a:off x="5427785" y="2123358"/>
        <a:ext cx="801694" cy="489634"/>
      </dsp:txXfrm>
    </dsp:sp>
    <dsp:sp modelId="{452CAA51-CB84-4E52-8DCD-F554FA735C22}">
      <dsp:nvSpPr>
        <dsp:cNvPr id="0" name=""/>
        <dsp:cNvSpPr/>
      </dsp:nvSpPr>
      <dsp:spPr>
        <a:xfrm>
          <a:off x="650476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100 to 200</a:t>
          </a:r>
        </a:p>
      </dsp:txBody>
      <dsp:txXfrm>
        <a:off x="6519996" y="823107"/>
        <a:ext cx="1009734" cy="489634"/>
      </dsp:txXfrm>
    </dsp:sp>
    <dsp:sp modelId="{F03152B3-860B-4E76-AA48-6434D3E18070}">
      <dsp:nvSpPr>
        <dsp:cNvPr id="0" name=""/>
        <dsp:cNvSpPr/>
      </dsp:nvSpPr>
      <dsp:spPr>
        <a:xfrm>
          <a:off x="6608783"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4CAFCF2-AD5B-4CC0-B0BA-2C256AC6269E}">
      <dsp:nvSpPr>
        <dsp:cNvPr id="0" name=""/>
        <dsp:cNvSpPr/>
      </dsp:nvSpPr>
      <dsp:spPr>
        <a:xfrm>
          <a:off x="6712803"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108-Upper Std Dev Value- Hurricane Katrina</a:t>
          </a:r>
        </a:p>
      </dsp:txBody>
      <dsp:txXfrm>
        <a:off x="6728036" y="1473232"/>
        <a:ext cx="801694" cy="489634"/>
      </dsp:txXfrm>
    </dsp:sp>
    <dsp:sp modelId="{F30FB74C-968C-4BB4-9F52-E228FD4423C0}">
      <dsp:nvSpPr>
        <dsp:cNvPr id="0" name=""/>
        <dsp:cNvSpPr/>
      </dsp:nvSpPr>
      <dsp:spPr>
        <a:xfrm>
          <a:off x="6608783"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50B585-4A3E-4335-88E7-14E791FD9072}">
      <dsp:nvSpPr>
        <dsp:cNvPr id="0" name=""/>
        <dsp:cNvSpPr/>
      </dsp:nvSpPr>
      <dsp:spPr>
        <a:xfrm>
          <a:off x="6712803"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121.6 Average Value Klamath Dam Removals</a:t>
          </a:r>
        </a:p>
      </dsp:txBody>
      <dsp:txXfrm>
        <a:off x="6728036" y="2123358"/>
        <a:ext cx="801694" cy="489634"/>
      </dsp:txXfrm>
    </dsp:sp>
    <dsp:sp modelId="{296F2AFB-89D2-4A45-A2AA-53CBACE4B779}">
      <dsp:nvSpPr>
        <dsp:cNvPr id="0" name=""/>
        <dsp:cNvSpPr/>
      </dsp:nvSpPr>
      <dsp:spPr>
        <a:xfrm>
          <a:off x="7805013" y="807874"/>
          <a:ext cx="1040200" cy="520100"/>
        </a:xfrm>
        <a:prstGeom prst="roundRect">
          <a:avLst>
            <a:gd name="adj" fmla="val 10000"/>
          </a:avLst>
        </a:prstGeom>
        <a:solidFill>
          <a:schemeClr val="accent1">
            <a:hueOff val="0"/>
            <a:satOff val="0"/>
            <a:lumOff val="0"/>
            <a:alphaOff val="0"/>
          </a:schemeClr>
        </a:solidFill>
        <a:ln w="12700" cap="flat" cmpd="sng" algn="ctr">
          <a:solidFill>
            <a:schemeClr val="l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2385" tIns="21590" rIns="32385" bIns="21590" numCol="1" spcCol="1270" anchor="ctr" anchorCtr="0">
          <a:noAutofit/>
        </a:bodyPr>
        <a:lstStyle/>
        <a:p>
          <a:pPr marL="0" lvl="0" indent="0" algn="ctr" defTabSz="755650">
            <a:lnSpc>
              <a:spcPct val="90000"/>
            </a:lnSpc>
            <a:spcBef>
              <a:spcPct val="0"/>
            </a:spcBef>
            <a:spcAft>
              <a:spcPct val="35000"/>
            </a:spcAft>
            <a:buNone/>
          </a:pPr>
          <a:r>
            <a:rPr lang="en-US" sz="1700" kern="1200"/>
            <a:t>200 to 425</a:t>
          </a:r>
        </a:p>
      </dsp:txBody>
      <dsp:txXfrm>
        <a:off x="7820246" y="823107"/>
        <a:ext cx="1009734" cy="489634"/>
      </dsp:txXfrm>
    </dsp:sp>
    <dsp:sp modelId="{BC621A52-76C5-4D7F-A11F-CCD40399D6F2}">
      <dsp:nvSpPr>
        <dsp:cNvPr id="0" name=""/>
        <dsp:cNvSpPr/>
      </dsp:nvSpPr>
      <dsp:spPr>
        <a:xfrm>
          <a:off x="7909034" y="1327974"/>
          <a:ext cx="104020" cy="390075"/>
        </a:xfrm>
        <a:custGeom>
          <a:avLst/>
          <a:gdLst/>
          <a:ahLst/>
          <a:cxnLst/>
          <a:rect l="0" t="0" r="0" b="0"/>
          <a:pathLst>
            <a:path>
              <a:moveTo>
                <a:pt x="0" y="0"/>
              </a:moveTo>
              <a:lnTo>
                <a:pt x="0" y="390075"/>
              </a:lnTo>
              <a:lnTo>
                <a:pt x="104020" y="39007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2E17328-10BC-4382-9F95-DDE581E29C2B}">
      <dsp:nvSpPr>
        <dsp:cNvPr id="0" name=""/>
        <dsp:cNvSpPr/>
      </dsp:nvSpPr>
      <dsp:spPr>
        <a:xfrm>
          <a:off x="8013054" y="1457999"/>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203.4 Teton Dam Revisit Upper Value</a:t>
          </a:r>
        </a:p>
      </dsp:txBody>
      <dsp:txXfrm>
        <a:off x="8028287" y="1473232"/>
        <a:ext cx="801694" cy="489634"/>
      </dsp:txXfrm>
    </dsp:sp>
    <dsp:sp modelId="{78BEE515-E14E-4BF2-A010-B192BF96C3FA}">
      <dsp:nvSpPr>
        <dsp:cNvPr id="0" name=""/>
        <dsp:cNvSpPr/>
      </dsp:nvSpPr>
      <dsp:spPr>
        <a:xfrm>
          <a:off x="7909034" y="1327974"/>
          <a:ext cx="104020" cy="1040200"/>
        </a:xfrm>
        <a:custGeom>
          <a:avLst/>
          <a:gdLst/>
          <a:ahLst/>
          <a:cxnLst/>
          <a:rect l="0" t="0" r="0" b="0"/>
          <a:pathLst>
            <a:path>
              <a:moveTo>
                <a:pt x="0" y="0"/>
              </a:moveTo>
              <a:lnTo>
                <a:pt x="0" y="1040200"/>
              </a:lnTo>
              <a:lnTo>
                <a:pt x="104020" y="1040200"/>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DF86709-FA57-4E95-83B9-B0B76294F91F}">
      <dsp:nvSpPr>
        <dsp:cNvPr id="0" name=""/>
        <dsp:cNvSpPr/>
      </dsp:nvSpPr>
      <dsp:spPr>
        <a:xfrm>
          <a:off x="8013054" y="2108125"/>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296- Coarse (Robbins)</a:t>
          </a:r>
        </a:p>
      </dsp:txBody>
      <dsp:txXfrm>
        <a:off x="8028287" y="2123358"/>
        <a:ext cx="801694" cy="489634"/>
      </dsp:txXfrm>
    </dsp:sp>
    <dsp:sp modelId="{2FA7FD7D-6477-4BB1-A6BE-809D01C437ED}">
      <dsp:nvSpPr>
        <dsp:cNvPr id="0" name=""/>
        <dsp:cNvSpPr/>
      </dsp:nvSpPr>
      <dsp:spPr>
        <a:xfrm>
          <a:off x="7909034" y="1327974"/>
          <a:ext cx="104020" cy="1690325"/>
        </a:xfrm>
        <a:custGeom>
          <a:avLst/>
          <a:gdLst/>
          <a:ahLst/>
          <a:cxnLst/>
          <a:rect l="0" t="0" r="0" b="0"/>
          <a:pathLst>
            <a:path>
              <a:moveTo>
                <a:pt x="0" y="0"/>
              </a:moveTo>
              <a:lnTo>
                <a:pt x="0" y="1690325"/>
              </a:lnTo>
              <a:lnTo>
                <a:pt x="104020" y="1690325"/>
              </a:lnTo>
            </a:path>
          </a:pathLst>
        </a:custGeom>
        <a:noFill/>
        <a:ln w="12700" cap="flat" cmpd="sng" algn="ctr">
          <a:solidFill>
            <a:schemeClr val="accent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B2C1F0-4879-4F02-B4B1-EDD7E396DDD0}">
      <dsp:nvSpPr>
        <dsp:cNvPr id="0" name=""/>
        <dsp:cNvSpPr/>
      </dsp:nvSpPr>
      <dsp:spPr>
        <a:xfrm>
          <a:off x="8013054" y="2758250"/>
          <a:ext cx="832160" cy="520100"/>
        </a:xfrm>
        <a:prstGeom prst="roundRect">
          <a:avLst>
            <a:gd name="adj" fmla="val 10000"/>
          </a:avLst>
        </a:prstGeom>
        <a:solidFill>
          <a:schemeClr val="lt1">
            <a:alpha val="90000"/>
            <a:hueOff val="0"/>
            <a:satOff val="0"/>
            <a:lumOff val="0"/>
            <a:alphaOff val="0"/>
          </a:schemeClr>
        </a:solidFill>
        <a:ln w="12700" cap="flat" cmpd="sng" algn="ctr">
          <a:solidFill>
            <a:schemeClr val="accent1">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dsp:style>
      <dsp:txBody>
        <a:bodyPr spcFirstLastPara="0" vert="horz" wrap="square" lIns="15240" tIns="10160" rIns="15240" bIns="10160" numCol="1" spcCol="1270" anchor="ctr" anchorCtr="0">
          <a:noAutofit/>
        </a:bodyPr>
        <a:lstStyle/>
        <a:p>
          <a:pPr marL="0" lvl="0" indent="0" algn="ctr" defTabSz="355600">
            <a:lnSpc>
              <a:spcPct val="90000"/>
            </a:lnSpc>
            <a:spcBef>
              <a:spcPct val="0"/>
            </a:spcBef>
            <a:spcAft>
              <a:spcPct val="35000"/>
            </a:spcAft>
            <a:buNone/>
          </a:pPr>
          <a:r>
            <a:rPr lang="en-US" sz="800" kern="1200"/>
            <a:t>407-90% Value Coarse (TAMU)</a:t>
          </a:r>
        </a:p>
      </dsp:txBody>
      <dsp:txXfrm>
        <a:off x="8028287" y="2773483"/>
        <a:ext cx="801694" cy="489634"/>
      </dsp:txXfrm>
    </dsp:sp>
  </dsp:spTree>
</dsp:drawing>
</file>

<file path=xl/diagrams/layout1.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layout2.xml><?xml version="1.0" encoding="utf-8"?>
<dgm:layoutDef xmlns:dgm="http://schemas.openxmlformats.org/drawingml/2006/diagram" xmlns:a="http://schemas.openxmlformats.org/drawingml/2006/main" uniqueId="urn:microsoft.com/office/officeart/2005/8/layout/arrow1">
  <dgm:title val=""/>
  <dgm:desc val=""/>
  <dgm:catLst>
    <dgm:cat type="relationship" pri="7000"/>
    <dgm:cat type="process" pri="32000"/>
  </dgm:catLst>
  <dgm:sampData>
    <dgm:dataModel>
      <dgm:ptLst>
        <dgm:pt modelId="0" type="doc"/>
        <dgm:pt modelId="1">
          <dgm:prSet phldr="1"/>
        </dgm:pt>
        <dgm:pt modelId="2">
          <dgm:prSet phldr="1"/>
        </dgm:pt>
      </dgm:ptLst>
      <dgm:cxnLst>
        <dgm:cxn modelId="4" srcId="0" destId="1" srcOrd="0" destOrd="0"/>
        <dgm:cxn modelId="5" srcId="0" destId="2" srcOrd="1" destOrd="0"/>
      </dgm:cxnLst>
      <dgm:bg/>
      <dgm:whole/>
    </dgm:dataModel>
  </dgm:sampData>
  <dgm:styleData>
    <dgm:dataModel>
      <dgm:ptLst>
        <dgm:pt modelId="0" type="doc"/>
        <dgm:pt modelId="1"/>
        <dgm:pt modelId="2"/>
      </dgm:ptLst>
      <dgm:cxnLst>
        <dgm:cxn modelId="3" srcId="0" destId="1" srcOrd="0" destOrd="0"/>
        <dgm:cxn modelId="4" srcId="0" destId="2" srcOrd="1" destOrd="0"/>
      </dgm:cxnLst>
      <dgm:bg/>
      <dgm:whole/>
    </dgm:dataModel>
  </dgm:styleData>
  <dgm:clrData>
    <dgm:dataModel>
      <dgm:ptLst>
        <dgm:pt modelId="0" type="doc"/>
        <dgm:pt modelId="1"/>
        <dgm:pt modelId="2"/>
        <dgm:pt modelId="3"/>
        <dgm:pt modelId="4"/>
      </dgm:ptLst>
      <dgm:cxnLst>
        <dgm:cxn modelId="5" srcId="0" destId="1" srcOrd="0" destOrd="0"/>
        <dgm:cxn modelId="6" srcId="0" destId="2" srcOrd="1" destOrd="0"/>
        <dgm:cxn modelId="7" srcId="0" destId="3" srcOrd="2" destOrd="0"/>
        <dgm:cxn modelId="8" srcId="0" destId="4" srcOrd="3" destOrd="0"/>
      </dgm:cxnLst>
      <dgm:bg/>
      <dgm:whole/>
    </dgm:dataModel>
  </dgm:clrData>
  <dgm:layoutNode name="cycle">
    <dgm:varLst>
      <dgm:dir/>
      <dgm:resizeHandles val="exact"/>
    </dgm:varLst>
    <dgm:choose name="Name0">
      <dgm:if name="Name1" axis="ch" ptType="node" func="cnt" op="equ" val="2">
        <dgm:choose name="Name2">
          <dgm:if name="Name3" func="var" arg="dir" op="equ" val="norm">
            <dgm:alg type="cycle">
              <dgm:param type="rotPath" val="alongPath"/>
              <dgm:param type="stAng" val="270"/>
            </dgm:alg>
          </dgm:if>
          <dgm:else name="Name4">
            <dgm:alg type="cycle">
              <dgm:param type="rotPath" val="alongPath"/>
              <dgm:param type="stAng" val="90"/>
              <dgm:param type="spanAng" val="-360"/>
            </dgm:alg>
          </dgm:else>
        </dgm:choose>
      </dgm:if>
      <dgm:else name="Name5">
        <dgm:choose name="Name6">
          <dgm:if name="Name7" func="var" arg="dir" op="equ" val="norm">
            <dgm:alg type="cycle">
              <dgm:param type="rotPath" val="alongPath"/>
            </dgm:alg>
          </dgm:if>
          <dgm:else name="Name8">
            <dgm:alg type="cycle">
              <dgm:param type="rotPath" val="alongPath"/>
              <dgm:param type="spanAng" val="-360"/>
            </dgm:alg>
          </dgm:else>
        </dgm:choose>
      </dgm:else>
    </dgm:choose>
    <dgm:shape xmlns:r="http://schemas.openxmlformats.org/officeDocument/2006/relationships" r:blip="">
      <dgm:adjLst/>
    </dgm:shape>
    <dgm:presOf/>
    <dgm:choose name="Name9">
      <dgm:if name="Name10" axis="ch" ptType="node" func="cnt" op="equ" val="2">
        <dgm:constrLst>
          <dgm:constr type="primFontSz" for="ch" ptType="node" op="equ" val="65"/>
          <dgm:constr type="w" for="ch" ptType="node" refType="w"/>
          <dgm:constr type="h" for="ch" ptType="node" refType="w" refFor="ch" refPtType="node"/>
          <dgm:constr type="sibSp" refType="w" refFor="ch" refPtType="node" fact="0.1"/>
          <dgm:constr type="diam" refType="w" refFor="ch" refPtType="node" fact="1.1"/>
        </dgm:constrLst>
      </dgm:if>
      <dgm:if name="Name11" axis="ch" ptType="node" func="cnt" op="equ" val="5">
        <dgm:constrLst>
          <dgm:constr type="primFontSz" for="ch" ptType="node" op="equ" val="65"/>
          <dgm:constr type="w" for="ch" ptType="node" refType="w"/>
          <dgm:constr type="h" for="ch" ptType="node" refType="w" refFor="ch" refPtType="node"/>
          <dgm:constr type="sibSp" refType="w" refFor="ch" refPtType="node" fact="-0.24"/>
        </dgm:constrLst>
      </dgm:if>
      <dgm:if name="Name12" axis="ch" ptType="node" func="cnt" op="equ" val="6">
        <dgm:constrLst>
          <dgm:constr type="primFontSz" for="ch" ptType="node" op="equ" val="65"/>
          <dgm:constr type="w" for="ch" ptType="node" refType="w"/>
          <dgm:constr type="h" for="ch" ptType="node" refType="w" refFor="ch" refPtType="node"/>
          <dgm:constr type="sibSp" refType="w" refFor="ch" refPtType="node" fact="-0.2"/>
        </dgm:constrLst>
      </dgm:if>
      <dgm:if name="Name13" axis="ch" ptType="node" func="cnt" op="equ" val="8">
        <dgm:constrLst>
          <dgm:constr type="primFontSz" for="ch" ptType="node" op="equ" val="65"/>
          <dgm:constr type="w" for="ch" ptType="node" refType="w"/>
          <dgm:constr type="h" for="ch" ptType="node" refType="w" refFor="ch" refPtType="node"/>
          <dgm:constr type="sibSp" refType="w" refFor="ch" refPtType="node" fact="-0.15"/>
        </dgm:constrLst>
      </dgm:if>
      <dgm:if name="Name14" axis="ch" ptType="node" func="cnt" op="equ" val="10">
        <dgm:constrLst>
          <dgm:constr type="primFontSz" for="ch" ptType="node" op="lte" val="65"/>
          <dgm:constr type="w" for="ch" ptType="node" refType="w"/>
          <dgm:constr type="h" for="ch" ptType="node" refType="w" refFor="ch" refPtType="node"/>
          <dgm:constr type="sibSp" refType="w" refFor="ch" refPtType="node" fact="-0.24"/>
        </dgm:constrLst>
      </dgm:if>
      <dgm:else name="Name15">
        <dgm:constrLst>
          <dgm:constr type="primFontSz" for="ch" ptType="node" op="equ" val="65"/>
          <dgm:constr type="w" for="ch" ptType="node" refType="w"/>
          <dgm:constr type="h" for="ch" ptType="node" refType="w" refFor="ch" refPtType="node"/>
          <dgm:constr type="sibSp" refType="w" refFor="ch" refPtType="node" fact="-0.35"/>
        </dgm:constrLst>
      </dgm:else>
    </dgm:choose>
    <dgm:ruleLst/>
    <dgm:forEach name="Name16" axis="ch" ptType="node">
      <dgm:layoutNode name="arrow">
        <dgm:varLst>
          <dgm:bulletEnabled val="1"/>
        </dgm:varLst>
        <dgm:alg type="tx"/>
        <dgm:shape xmlns:r="http://schemas.openxmlformats.org/officeDocument/2006/relationships" type="upArrow" r:blip="">
          <dgm:adjLst>
            <dgm:adj idx="2" val="0.35"/>
          </dgm:adjLst>
        </dgm:shape>
        <dgm:presOf axis="desOrSelf" ptType="node"/>
        <dgm:constrLst/>
        <dgm:ruleLst>
          <dgm:rule type="primFontSz" val="5" fact="NaN" max="NaN"/>
        </dgm:ruleLst>
      </dgm:layoutNode>
    </dgm:forEach>
  </dgm:layoutNode>
</dgm:layoutDef>
</file>

<file path=xl/diagrams/layout3.xml><?xml version="1.0" encoding="utf-8"?>
<dgm:layoutDef xmlns:dgm="http://schemas.openxmlformats.org/drawingml/2006/diagram" xmlns:a="http://schemas.openxmlformats.org/drawingml/2006/main" uniqueId="urn:microsoft.com/office/officeart/2005/8/layout/hierarchy3">
  <dgm:title val=""/>
  <dgm:desc val=""/>
  <dgm:catLst>
    <dgm:cat type="hierarchy" pri="7000"/>
    <dgm:cat type="list" pri="23000"/>
    <dgm:cat type="relationship" pri="15000"/>
    <dgm:cat type="convert" pri="7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Lst>
      <dgm:cxnLst>
        <dgm:cxn modelId="4" srcId="0" destId="1" srcOrd="0" destOrd="0"/>
        <dgm:cxn modelId="5" srcId="1" destId="11" srcOrd="0" destOrd="0"/>
        <dgm:cxn modelId="6" srcId="1" destId="12" srcOrd="1" destOrd="0"/>
        <dgm:cxn modelId="7" srcId="0" destId="2" srcOrd="1" destOrd="0"/>
        <dgm:cxn modelId="8" srcId="2" destId="21" srcOrd="0" destOrd="0"/>
        <dgm:cxn modelId="9" srcId="2" destId="22" srcOrd="1" destOrd="0"/>
      </dgm:cxnLst>
      <dgm:bg/>
      <dgm:whole/>
    </dgm:dataModel>
  </dgm:sampData>
  <dgm:styleData>
    <dgm:dataModel>
      <dgm:ptLst>
        <dgm:pt modelId="0" type="doc"/>
        <dgm:pt modelId="1"/>
        <dgm:pt modelId="11"/>
        <dgm:pt modelId="2"/>
        <dgm:pt modelId="21"/>
      </dgm:ptLst>
      <dgm:cxnLst>
        <dgm:cxn modelId="4" srcId="0" destId="1" srcOrd="0" destOrd="0"/>
        <dgm:cxn modelId="5" srcId="0" destId="2" srcOrd="1" destOrd="0"/>
        <dgm:cxn modelId="13" srcId="1" destId="11" srcOrd="0" destOrd="0"/>
        <dgm:cxn modelId="23" srcId="2" destId="2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diagram">
    <dgm:varLst>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primFontSz" for="des" forName="rootText" op="equ" val="65"/>
      <dgm:constr type="primFontSz" for="des" forName="childText" op="equ" val="65"/>
      <dgm:constr type="w" for="des" forName="rootComposite" refType="w"/>
      <dgm:constr type="h" for="des" forName="rootComposite" refType="w" fact="0.5"/>
      <dgm:constr type="w" for="des" forName="childText" refType="w" refFor="des" refForName="rootComposite" fact="0.8"/>
      <dgm:constr type="h" for="des" forName="childText" refType="h" refFor="des" refForName="rootComposite"/>
      <dgm:constr type="sibSp" refType="w" refFor="des" refForName="rootComposite" fact="0.25"/>
      <dgm:constr type="sibSp" for="des" forName="childShape" refType="h" refFor="des" refForName="childText" fact="0.25"/>
      <dgm:constr type="sp" for="des" forName="root" refType="h" refFor="des" refForName="childText" fact="0.25"/>
    </dgm:constrLst>
    <dgm:ruleLst/>
    <dgm:forEach name="Name3" axis="ch">
      <dgm:forEach name="Name4" axis="self" ptType="node" cnt="1">
        <dgm:layoutNode name="root">
          <dgm:choose name="Name5">
            <dgm:if name="Name6" func="var" arg="dir" op="equ" val="norm">
              <dgm:alg type="hierRoot">
                <dgm:param type="hierAlign" val="tL"/>
              </dgm:alg>
            </dgm:if>
            <dgm:else name="Name7">
              <dgm:alg type="hierRoot">
                <dgm:param type="hierAlign" val="tR"/>
              </dgm:alg>
            </dgm:else>
          </dgm:choose>
          <dgm:shape xmlns:r="http://schemas.openxmlformats.org/officeDocument/2006/relationships" r:blip="">
            <dgm:adjLst/>
          </dgm:shape>
          <dgm:presOf/>
          <dgm:constrLst>
            <dgm:constr type="alignOff" val="0.2"/>
          </dgm:constrLst>
          <dgm:ruleLst/>
          <dgm:layoutNode name="rootComposite">
            <dgm:alg type="composite"/>
            <dgm:shape xmlns:r="http://schemas.openxmlformats.org/officeDocument/2006/relationships" r:blip="">
              <dgm:adjLst/>
            </dgm:shape>
            <dgm:presOf axis="self" ptType="node" cnt="1"/>
            <dgm:choose name="Name8">
              <dgm:if name="Name9" func="var" arg="dir" op="equ" val="norm">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10">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styleLbl="node1">
              <dgm:alg type="tx"/>
              <dgm:shape xmlns:r="http://schemas.openxmlformats.org/officeDocument/2006/relationships" type="roundRect" r:blip="">
                <dgm:adjLst>
                  <dgm:adj idx="1" val="0.1"/>
                </dgm:adjLst>
              </dgm:shape>
              <dgm:presOf axis="self" ptType="node" cnt="1"/>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layoutNode name="rootConnector" moveWith="rootText">
              <dgm:alg type="sp"/>
              <dgm:shape xmlns:r="http://schemas.openxmlformats.org/officeDocument/2006/relationships" type="roundRect" r:blip="" hideGeom="1">
                <dgm:adjLst>
                  <dgm:adj idx="1" val="0.1"/>
                </dgm:adjLst>
              </dgm:shape>
              <dgm:presOf axis="self" ptType="node" cnt="1"/>
              <dgm:constrLst/>
              <dgm:ruleLst/>
            </dgm:layoutNode>
          </dgm:layoutNode>
          <dgm:layoutNode name="childShape">
            <dgm:alg type="hierChild">
              <dgm:param type="chAlign" val="l"/>
              <dgm:param type="linDir" val="fromT"/>
            </dgm:alg>
            <dgm:shape xmlns:r="http://schemas.openxmlformats.org/officeDocument/2006/relationships" r:blip="">
              <dgm:adjLst/>
            </dgm:shape>
            <dgm:presOf/>
            <dgm:constrLst/>
            <dgm:ruleLst/>
            <dgm:forEach name="Name11" axis="ch">
              <dgm:forEach name="Name12" axis="self" ptType="parTrans" cnt="1">
                <dgm:layoutNode name="Name13">
                  <dgm:choose name="Name14">
                    <dgm:if name="Name15" func="var" arg="dir" op="equ" val="norm">
                      <dgm:alg type="conn">
                        <dgm:param type="dim" val="1D"/>
                        <dgm:param type="endSty" val="noArr"/>
                        <dgm:param type="connRout" val="bend"/>
                        <dgm:param type="srcNode" val="rootConnector"/>
                        <dgm:param type="begPts" val="bCtr"/>
                        <dgm:param type="endPts" val="midL"/>
                      </dgm:alg>
                    </dgm:if>
                    <dgm:else name="Name16">
                      <dgm:alg type="conn">
                        <dgm:param type="dim" val="1D"/>
                        <dgm:param type="endSty" val="noArr"/>
                        <dgm:param type="connRout" val="bend"/>
                        <dgm:param type="srcNode" val="rootConnector"/>
                        <dgm:param type="begPts" val="bCtr"/>
                        <dgm:param type="endPts" val="midR"/>
                      </dgm:alg>
                    </dgm:else>
                  </dgm:choose>
                  <dgm:shape xmlns:r="http://schemas.openxmlformats.org/officeDocument/2006/relationships" type="conn" r:blip="">
                    <dgm:adjLst/>
                  </dgm:shape>
                  <dgm:presOf axis="self"/>
                  <dgm:constrLst>
                    <dgm:constr type="begPad"/>
                    <dgm:constr type="endPad"/>
                  </dgm:constrLst>
                  <dgm:ruleLst/>
                </dgm:layoutNode>
              </dgm:forEach>
              <dgm:forEach name="Name17" axis="self" ptType="node">
                <dgm:layoutNode name="childText" styleLbl="bgAcc1">
                  <dgm:varLst>
                    <dgm:bulletEnabled val="1"/>
                  </dgm:varLst>
                  <dgm:alg type="tx"/>
                  <dgm:shape xmlns:r="http://schemas.openxmlformats.org/officeDocument/2006/relationships" type="roundRect" r:blip="">
                    <dgm:adjLst>
                      <dgm:adj idx="1" val="0.1"/>
                    </dgm:adjLst>
                  </dgm:shape>
                  <dgm:presOf axis="self desOrSelf" ptType="node node" st="1 1" cnt="1 0"/>
                  <dgm:constrLst>
                    <dgm:constr type="tMarg" refType="primFontSz" fact="0.1"/>
                    <dgm:constr type="bMarg" refType="primFontSz" fact="0.1"/>
                    <dgm:constr type="lMarg" refType="primFontSz" fact="0.15"/>
                    <dgm:constr type="rMarg" refType="primFontSz" fact="0.15"/>
                  </dgm:constrLst>
                  <dgm:ruleLst>
                    <dgm:rule type="primFontSz" val="5" fact="NaN" max="NaN"/>
                  </dgm:ruleLst>
                </dgm:layoutNode>
              </dgm:forEach>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2.xml><?xml version="1.0" encoding="utf-8"?>
<dgm:styleDef xmlns:dgm="http://schemas.openxmlformats.org/drawingml/2006/diagram" xmlns:a="http://schemas.openxmlformats.org/drawingml/2006/main" uniqueId="urn:microsoft.com/office/officeart/2005/8/quickstyle/simple2#1">
  <dgm:title val=""/>
  <dgm:desc val=""/>
  <dgm:catLst>
    <dgm:cat type="simple" pri="10200"/>
  </dgm:catLst>
  <dgm:scene3d>
    <a:camera prst="orthographicFront"/>
    <a:lightRig rig="threePt" dir="t"/>
  </dgm:scene3d>
  <dgm:styleLbl name="node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ln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vennNode1">
    <dgm:scene3d>
      <a:camera prst="orthographicFront"/>
      <a:lightRig rig="threePt" dir="t"/>
    </dgm:scene3d>
    <dgm:sp3d/>
    <dgm:txPr/>
    <dgm:style>
      <a:lnRef idx="3">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1">
        <a:scrgbClr r="0" g="0" b="0"/>
      </a:effectRef>
      <a:fontRef idx="minor">
        <a:schemeClr val="lt1"/>
      </a:fontRef>
    </dgm:style>
  </dgm:styleLbl>
  <dgm:styleLbl name="node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node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f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align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bgImgPlace1">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1">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1">
        <a:scrgbClr r="0" g="0" b="0"/>
      </a:effectRef>
      <a:fontRef idx="minor"/>
    </dgm:style>
  </dgm:styleLbl>
  <dgm:styleLbl name="asst0">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asst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1">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2">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3">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2D4">
    <dgm:scene3d>
      <a:camera prst="orthographicFront"/>
      <a:lightRig rig="threePt" dir="t"/>
    </dgm:scene3d>
    <dgm:sp3d/>
    <dgm:txPr/>
    <dgm:style>
      <a:lnRef idx="3">
        <a:scrgbClr r="0" g="0" b="0"/>
      </a:lnRef>
      <a:fillRef idx="1">
        <a:scrgbClr r="0" g="0" b="0"/>
      </a:fillRef>
      <a:effectRef idx="1">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3">
        <a:scrgbClr r="0" g="0" b="0"/>
      </a:lnRef>
      <a:fillRef idx="1">
        <a:scrgbClr r="0" g="0" b="0"/>
      </a:fillRef>
      <a:effectRef idx="1">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iagrams/quickStyle3.xml><?xml version="1.0" encoding="utf-8"?>
<dgm:styleDef xmlns:dgm="http://schemas.openxmlformats.org/drawingml/2006/diagram" xmlns:a="http://schemas.openxmlformats.org/drawingml/2006/main" uniqueId="urn:microsoft.com/office/officeart/2005/8/quickstyle/simple1#2">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diagramQuickStyle" Target="../diagrams/quickStyle2.xml"/><Relationship Id="rId13" Type="http://schemas.openxmlformats.org/officeDocument/2006/relationships/diagramQuickStyle" Target="../diagrams/quickStyle3.xml"/><Relationship Id="rId3" Type="http://schemas.openxmlformats.org/officeDocument/2006/relationships/diagramQuickStyle" Target="../diagrams/quickStyle1.xml"/><Relationship Id="rId7" Type="http://schemas.openxmlformats.org/officeDocument/2006/relationships/diagramLayout" Target="../diagrams/layout2.xml"/><Relationship Id="rId12" Type="http://schemas.openxmlformats.org/officeDocument/2006/relationships/diagramLayout" Target="../diagrams/layout3.xml"/><Relationship Id="rId2" Type="http://schemas.openxmlformats.org/officeDocument/2006/relationships/diagramLayout" Target="../diagrams/layout1.xml"/><Relationship Id="rId1" Type="http://schemas.openxmlformats.org/officeDocument/2006/relationships/diagramData" Target="../diagrams/data1.xml"/><Relationship Id="rId6" Type="http://schemas.openxmlformats.org/officeDocument/2006/relationships/diagramData" Target="../diagrams/data2.xml"/><Relationship Id="rId11" Type="http://schemas.openxmlformats.org/officeDocument/2006/relationships/diagramData" Target="../diagrams/data3.xml"/><Relationship Id="rId5" Type="http://schemas.microsoft.com/office/2007/relationships/diagramDrawing" Target="../diagrams/drawing1.xml"/><Relationship Id="rId15" Type="http://schemas.microsoft.com/office/2007/relationships/diagramDrawing" Target="../diagrams/drawing3.xml"/><Relationship Id="rId10" Type="http://schemas.microsoft.com/office/2007/relationships/diagramDrawing" Target="../diagrams/drawing2.xml"/><Relationship Id="rId4" Type="http://schemas.openxmlformats.org/officeDocument/2006/relationships/diagramColors" Target="../diagrams/colors1.xml"/><Relationship Id="rId9" Type="http://schemas.openxmlformats.org/officeDocument/2006/relationships/diagramColors" Target="../diagrams/colors2.xml"/><Relationship Id="rId14" Type="http://schemas.openxmlformats.org/officeDocument/2006/relationships/diagramColors" Target="../diagrams/colors3.xml"/></Relationships>
</file>

<file path=xl/drawings/drawing1.xml><?xml version="1.0" encoding="utf-8"?>
<xdr:wsDr xmlns:xdr="http://schemas.openxmlformats.org/drawingml/2006/spreadsheetDrawing" xmlns:a="http://schemas.openxmlformats.org/drawingml/2006/main">
  <xdr:twoCellAnchor>
    <xdr:from>
      <xdr:col>3</xdr:col>
      <xdr:colOff>697707</xdr:colOff>
      <xdr:row>34</xdr:row>
      <xdr:rowOff>126207</xdr:rowOff>
    </xdr:from>
    <xdr:to>
      <xdr:col>12</xdr:col>
      <xdr:colOff>23813</xdr:colOff>
      <xdr:row>59</xdr:row>
      <xdr:rowOff>83343</xdr:rowOff>
    </xdr:to>
    <xdr:graphicFrame macro="">
      <xdr:nvGraphicFramePr>
        <xdr:cNvPr id="2" name="Chart 1">
          <a:extLst>
            <a:ext uri="{FF2B5EF4-FFF2-40B4-BE49-F238E27FC236}">
              <a16:creationId xmlns:a16="http://schemas.microsoft.com/office/drawing/2014/main" id="{819A25A1-7BCE-49FD-B406-FB7838C8C2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197644</xdr:colOff>
      <xdr:row>34</xdr:row>
      <xdr:rowOff>90779</xdr:rowOff>
    </xdr:from>
    <xdr:to>
      <xdr:col>3</xdr:col>
      <xdr:colOff>638176</xdr:colOff>
      <xdr:row>59</xdr:row>
      <xdr:rowOff>31638</xdr:rowOff>
    </xdr:to>
    <xdr:pic>
      <xdr:nvPicPr>
        <xdr:cNvPr id="5" name="Picture 4">
          <a:extLst>
            <a:ext uri="{FF2B5EF4-FFF2-40B4-BE49-F238E27FC236}">
              <a16:creationId xmlns:a16="http://schemas.microsoft.com/office/drawing/2014/main" id="{5FA07BE9-9DA3-42AB-9F25-AEF5FF40BDE7}"/>
            </a:ext>
            <a:ext uri="{147F2762-F138-4A5C-976F-8EAC2B608ADB}">
              <a16:predDERef xmlns:a16="http://schemas.microsoft.com/office/drawing/2014/main" pred="{819A25A1-7BCE-49FD-B406-FB7838C8C2A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xdr:blipFill>
      <xdr:spPr>
        <a:xfrm>
          <a:off x="197644" y="7244054"/>
          <a:ext cx="6784182" cy="4522384"/>
        </a:xfrm>
        <a:prstGeom prst="rect">
          <a:avLst/>
        </a:prstGeom>
        <a:ln>
          <a:solidFill>
            <a:sysClr val="windowText" lastClr="000000"/>
          </a:solidFill>
        </a:ln>
      </xdr:spPr>
    </xdr:pic>
    <xdr:clientData/>
  </xdr:twoCellAnchor>
  <xdr:twoCellAnchor>
    <xdr:from>
      <xdr:col>0</xdr:col>
      <xdr:colOff>369094</xdr:colOff>
      <xdr:row>1</xdr:row>
      <xdr:rowOff>107155</xdr:rowOff>
    </xdr:from>
    <xdr:to>
      <xdr:col>1</xdr:col>
      <xdr:colOff>11907</xdr:colOff>
      <xdr:row>3</xdr:row>
      <xdr:rowOff>168115</xdr:rowOff>
    </xdr:to>
    <xdr:pic>
      <xdr:nvPicPr>
        <xdr:cNvPr id="8" name="Picture 7">
          <a:extLst>
            <a:ext uri="{FF2B5EF4-FFF2-40B4-BE49-F238E27FC236}">
              <a16:creationId xmlns:a16="http://schemas.microsoft.com/office/drawing/2014/main" id="{2DB18243-F70C-49A8-AE3F-E8BA2A309765}"/>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9094" y="369093"/>
          <a:ext cx="2750344" cy="5133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5</xdr:col>
      <xdr:colOff>371475</xdr:colOff>
      <xdr:row>0</xdr:row>
      <xdr:rowOff>171450</xdr:rowOff>
    </xdr:from>
    <xdr:to>
      <xdr:col>20</xdr:col>
      <xdr:colOff>76200</xdr:colOff>
      <xdr:row>20</xdr:row>
      <xdr:rowOff>161925</xdr:rowOff>
    </xdr:to>
    <xdr:graphicFrame macro="">
      <xdr:nvGraphicFramePr>
        <xdr:cNvPr id="2" name="Diagram 1">
          <a:extLst>
            <a:ext uri="{FF2B5EF4-FFF2-40B4-BE49-F238E27FC236}">
              <a16:creationId xmlns:a16="http://schemas.microsoft.com/office/drawing/2014/main" id="{62666386-E39B-4EAA-AFF1-5C5F4DCE0B88}"/>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twoCellAnchor>
    <xdr:from>
      <xdr:col>6</xdr:col>
      <xdr:colOff>0</xdr:colOff>
      <xdr:row>21</xdr:row>
      <xdr:rowOff>0</xdr:rowOff>
    </xdr:from>
    <xdr:to>
      <xdr:col>19</xdr:col>
      <xdr:colOff>466725</xdr:colOff>
      <xdr:row>34</xdr:row>
      <xdr:rowOff>38100</xdr:rowOff>
    </xdr:to>
    <xdr:graphicFrame macro="">
      <xdr:nvGraphicFramePr>
        <xdr:cNvPr id="3" name="Diagram 2">
          <a:extLst>
            <a:ext uri="{FF2B5EF4-FFF2-40B4-BE49-F238E27FC236}">
              <a16:creationId xmlns:a16="http://schemas.microsoft.com/office/drawing/2014/main" id="{8A5BBC9F-144D-43CC-B5EB-685A33E8285D}"/>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6" r:lo="rId7" r:qs="rId8" r:cs="rId9"/>
        </a:graphicData>
      </a:graphic>
    </xdr:graphicFrame>
    <xdr:clientData/>
  </xdr:twoCellAnchor>
  <xdr:twoCellAnchor>
    <xdr:from>
      <xdr:col>10</xdr:col>
      <xdr:colOff>276225</xdr:colOff>
      <xdr:row>18</xdr:row>
      <xdr:rowOff>104775</xdr:rowOff>
    </xdr:from>
    <xdr:to>
      <xdr:col>15</xdr:col>
      <xdr:colOff>95250</xdr:colOff>
      <xdr:row>21</xdr:row>
      <xdr:rowOff>180975</xdr:rowOff>
    </xdr:to>
    <xdr:sp macro="" textlink="">
      <xdr:nvSpPr>
        <xdr:cNvPr id="4" name="TextBox 3">
          <a:extLst>
            <a:ext uri="{FF2B5EF4-FFF2-40B4-BE49-F238E27FC236}">
              <a16:creationId xmlns:a16="http://schemas.microsoft.com/office/drawing/2014/main" id="{33D96391-3E2A-4F8D-8F35-092F380B64AE}"/>
            </a:ext>
          </a:extLst>
        </xdr:cNvPr>
        <xdr:cNvSpPr txBox="1"/>
      </xdr:nvSpPr>
      <xdr:spPr>
        <a:xfrm>
          <a:off x="7896225" y="3543300"/>
          <a:ext cx="2867025" cy="6477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t>Sample K</a:t>
          </a:r>
          <a:r>
            <a:rPr lang="en-US" sz="1400" b="1" baseline="-25000"/>
            <a:t>d</a:t>
          </a:r>
          <a:r>
            <a:rPr lang="en-US" sz="1400" b="1"/>
            <a:t> Values</a:t>
          </a:r>
          <a:r>
            <a:rPr lang="en-US" sz="1400" b="1" baseline="0"/>
            <a:t> in (mm/hr)/Pa from the TAMU database</a:t>
          </a:r>
          <a:endParaRPr lang="en-US" sz="1400" b="1"/>
        </a:p>
      </xdr:txBody>
    </xdr:sp>
    <xdr:clientData/>
  </xdr:twoCellAnchor>
  <xdr:twoCellAnchor>
    <xdr:from>
      <xdr:col>20</xdr:col>
      <xdr:colOff>590550</xdr:colOff>
      <xdr:row>0</xdr:row>
      <xdr:rowOff>152400</xdr:rowOff>
    </xdr:from>
    <xdr:to>
      <xdr:col>35</xdr:col>
      <xdr:colOff>295275</xdr:colOff>
      <xdr:row>20</xdr:row>
      <xdr:rowOff>142875</xdr:rowOff>
    </xdr:to>
    <xdr:graphicFrame macro="">
      <xdr:nvGraphicFramePr>
        <xdr:cNvPr id="8" name="Diagram 7">
          <a:extLst>
            <a:ext uri="{FF2B5EF4-FFF2-40B4-BE49-F238E27FC236}">
              <a16:creationId xmlns:a16="http://schemas.microsoft.com/office/drawing/2014/main" id="{1C202FD8-DF9E-4ADC-83D7-0C17C53B51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1" r:lo="rId12" r:qs="rId13" r:cs="rId14"/>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s://lst.sec.usace.army.mil/ords/f?p=480:101:48761944847:::::" TargetMode="External"/><Relationship Id="rId7"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2" Type="http://schemas.openxmlformats.org/officeDocument/2006/relationships/hyperlink" Target="http://onlinepubs.trb.org/onlinepubs/nchrp/nchrp_rpt_915NCHRPErosion.xlsm" TargetMode="External"/><Relationship Id="rId1" Type="http://schemas.openxmlformats.org/officeDocument/2006/relationships/hyperlink" Target="http://www.trb.org/Main/Blurbs/179128.aspx" TargetMode="External"/><Relationship Id="rId6" Type="http://schemas.openxmlformats.org/officeDocument/2006/relationships/hyperlink" Target="http://dx.doi.org/10.21079/11681/44163" TargetMode="External"/><Relationship Id="rId5" Type="http://schemas.openxmlformats.org/officeDocument/2006/relationships/hyperlink" Target="https://cops.usace.army.mil/sites/HHC/CoPs/DS/MMC/Shared%20Documents/Forms/AllItems.aspx?RootFolder=%2Fsites%2FHHC%2FCoPs%2FDS%2FMMC%2FShared%20Documents%2FMMC%20Standard%20Operating%20Procedures%2FFY2021&amp;FolderCTID=0x012000448E47A8D6D89E4C845DEE97DCF4EC77&amp;View=%7BE7B3449D%2D4ED7%2D409B%2DBD37%2DEF06947BF389%7D" TargetMode="External"/><Relationship Id="rId4" Type="http://schemas.openxmlformats.org/officeDocument/2006/relationships/hyperlink" Target="https://levees.sec.usace.army.mil/"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s://cedb.asce.org/CEDBsearch/records.jsp?terms=Levees%20and%20dikes&amp;&amp;start=120" TargetMode="External"/><Relationship Id="rId7" Type="http://schemas.openxmlformats.org/officeDocument/2006/relationships/hyperlink" Target="https://www.e3s-conferences.org/articles/e3sconf/abs/2016/02/e3sconf_flood2016_03002/e3sconf_flood2016_03002.html" TargetMode="External"/><Relationship Id="rId2" Type="http://schemas.openxmlformats.org/officeDocument/2006/relationships/hyperlink" Target="https://damfailures.org/case-study/columbia-river-levees-at-vanport-oregon-1948/" TargetMode="External"/><Relationship Id="rId1" Type="http://schemas.openxmlformats.org/officeDocument/2006/relationships/hyperlink" Target="https://ascelibrary.org/doi/10.1061/%28ASCE%291090-0241%282008%29134%3A5%28668%29" TargetMode="External"/><Relationship Id="rId6" Type="http://schemas.openxmlformats.org/officeDocument/2006/relationships/hyperlink" Target="https://ascelibrary.org/doi/full/10.1061/%28ASCE%290733-9429%282008%29134%3A11%281547%29" TargetMode="External"/><Relationship Id="rId5" Type="http://schemas.openxmlformats.org/officeDocument/2006/relationships/hyperlink" Target="https://ascelibrary.org/doi/full/10.1061/%28ASCE%290733-9429%282008%29134%3A11%281547%29" TargetMode="External"/><Relationship Id="rId4" Type="http://schemas.openxmlformats.org/officeDocument/2006/relationships/hyperlink" Target="https://eng-resources.uncc.edu/failurecasestudies/dam-failure-cases/new-orleans-hurricane-katrina-levee-failur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5EACF-862C-4F87-9E4A-0B767026A963}">
  <sheetPr>
    <tabColor rgb="FFFFFF00"/>
  </sheetPr>
  <dimension ref="A1:AE127"/>
  <sheetViews>
    <sheetView tabSelected="1" zoomScale="80" zoomScaleNormal="80" workbookViewId="0">
      <selection activeCell="D17" sqref="D17"/>
    </sheetView>
  </sheetViews>
  <sheetFormatPr defaultRowHeight="15" x14ac:dyDescent="0.25"/>
  <cols>
    <col min="1" max="1" width="46.5703125" customWidth="1"/>
    <col min="2" max="2" width="13" customWidth="1"/>
    <col min="3" max="3" width="35.5703125" bestFit="1" customWidth="1"/>
    <col min="4" max="4" width="12.7109375" bestFit="1" customWidth="1"/>
    <col min="5" max="5" width="15.140625" bestFit="1" customWidth="1"/>
    <col min="6" max="6" width="21" bestFit="1" customWidth="1"/>
    <col min="7" max="7" width="5.42578125" customWidth="1"/>
    <col min="8" max="8" width="14.7109375" customWidth="1"/>
    <col min="9" max="9" width="14" customWidth="1"/>
    <col min="10" max="10" width="18.85546875" customWidth="1"/>
    <col min="11" max="11" width="17" customWidth="1"/>
    <col min="12" max="12" width="22.28515625" customWidth="1"/>
    <col min="13" max="13" width="3.7109375" customWidth="1"/>
    <col min="22" max="22" width="10.85546875" customWidth="1"/>
  </cols>
  <sheetData>
    <row r="1" spans="1:31" ht="21" x14ac:dyDescent="0.35">
      <c r="A1" s="27" t="s">
        <v>0</v>
      </c>
      <c r="C1" s="4"/>
      <c r="D1" s="4" t="s">
        <v>1</v>
      </c>
      <c r="E1" s="4"/>
      <c r="F1" s="4"/>
      <c r="G1" s="4"/>
      <c r="H1" s="4"/>
      <c r="I1" s="4"/>
      <c r="J1" s="4"/>
      <c r="K1" s="4"/>
      <c r="L1" s="4"/>
      <c r="M1" s="4"/>
      <c r="N1" s="4"/>
      <c r="O1" s="4"/>
      <c r="P1" s="4"/>
      <c r="Q1" s="4"/>
      <c r="R1" s="4"/>
      <c r="S1" s="4"/>
      <c r="T1" s="4"/>
      <c r="U1" s="4"/>
      <c r="V1" s="4"/>
      <c r="W1" s="4"/>
      <c r="X1" s="4"/>
      <c r="Y1" s="4"/>
      <c r="Z1" s="4"/>
      <c r="AA1" s="4"/>
      <c r="AB1" s="4"/>
      <c r="AC1" s="4"/>
      <c r="AD1" s="4"/>
      <c r="AE1" s="4"/>
    </row>
    <row r="2" spans="1:31" x14ac:dyDescent="0.25">
      <c r="B2" s="4"/>
      <c r="C2" s="4"/>
      <c r="D2" s="45" t="s">
        <v>2</v>
      </c>
      <c r="E2" s="4" t="s">
        <v>3</v>
      </c>
      <c r="F2" s="4"/>
      <c r="G2" s="4"/>
      <c r="H2" s="4"/>
      <c r="I2" s="4"/>
      <c r="J2" s="4"/>
      <c r="K2" s="4"/>
      <c r="L2" s="4"/>
      <c r="M2" s="4"/>
      <c r="N2" s="4"/>
      <c r="O2" s="4"/>
      <c r="P2" s="4"/>
      <c r="Q2" s="4"/>
      <c r="R2" s="4"/>
      <c r="S2" s="4"/>
      <c r="T2" s="4"/>
      <c r="U2" s="4"/>
      <c r="V2" s="4"/>
      <c r="W2" s="4"/>
      <c r="X2" s="4"/>
      <c r="Y2" s="4"/>
      <c r="Z2" s="4"/>
      <c r="AA2" s="4"/>
      <c r="AB2" s="4"/>
      <c r="AC2" s="4"/>
      <c r="AD2" s="4"/>
      <c r="AE2" s="4"/>
    </row>
    <row r="3" spans="1:31" ht="21" x14ac:dyDescent="0.35">
      <c r="A3" s="27"/>
      <c r="C3" s="4"/>
      <c r="D3" s="45" t="s">
        <v>4</v>
      </c>
      <c r="E3" s="4" t="s">
        <v>5</v>
      </c>
      <c r="F3" s="4"/>
      <c r="G3" s="4"/>
      <c r="H3" s="4"/>
      <c r="I3" s="4"/>
      <c r="J3" s="4"/>
      <c r="K3" s="4"/>
      <c r="L3" s="4"/>
      <c r="M3" s="4"/>
      <c r="N3" s="4"/>
      <c r="O3" s="4"/>
      <c r="P3" s="4"/>
      <c r="Q3" s="4"/>
      <c r="R3" s="4"/>
      <c r="S3" s="4"/>
      <c r="T3" s="4"/>
      <c r="U3" s="4"/>
      <c r="V3" s="4"/>
      <c r="W3" s="4"/>
      <c r="X3" s="4"/>
      <c r="Y3" s="4"/>
      <c r="Z3" s="4"/>
      <c r="AA3" s="4"/>
      <c r="AB3" s="4"/>
      <c r="AC3" s="4"/>
      <c r="AD3" s="4"/>
      <c r="AE3" s="4"/>
    </row>
    <row r="4" spans="1:31" ht="18" x14ac:dyDescent="0.35">
      <c r="B4" s="4"/>
      <c r="C4" s="4"/>
      <c r="D4" s="61" t="s">
        <v>6</v>
      </c>
      <c r="E4" s="4" t="s">
        <v>7</v>
      </c>
      <c r="F4" s="4"/>
      <c r="G4" s="4"/>
      <c r="H4" s="4"/>
      <c r="I4" s="4"/>
      <c r="J4" s="4"/>
      <c r="K4" s="4"/>
      <c r="L4" s="4"/>
      <c r="M4" s="4"/>
      <c r="N4" s="4"/>
      <c r="O4" s="4"/>
      <c r="P4" s="4"/>
      <c r="Q4" s="4"/>
      <c r="R4" s="4"/>
      <c r="S4" s="4"/>
      <c r="T4" s="4"/>
      <c r="U4" s="4"/>
      <c r="V4" s="4"/>
      <c r="W4" s="4"/>
      <c r="X4" s="4"/>
      <c r="Y4" s="4"/>
      <c r="Z4" s="4"/>
      <c r="AA4" s="4"/>
      <c r="AB4" s="4"/>
      <c r="AC4" s="4"/>
      <c r="AD4" s="4"/>
      <c r="AE4" s="4"/>
    </row>
    <row r="5" spans="1:31" ht="15.75" thickBot="1" x14ac:dyDescent="0.3">
      <c r="A5" s="17"/>
      <c r="B5" s="17"/>
      <c r="C5" s="17"/>
      <c r="D5" s="62" t="s">
        <v>8</v>
      </c>
      <c r="E5" s="17" t="s">
        <v>9</v>
      </c>
      <c r="F5" s="17"/>
      <c r="G5" s="17"/>
      <c r="H5" s="17"/>
      <c r="I5" s="17"/>
      <c r="J5" s="17"/>
      <c r="K5" s="17"/>
      <c r="L5" s="17"/>
      <c r="M5" s="17"/>
      <c r="N5" s="17"/>
      <c r="O5" s="17"/>
      <c r="P5" s="17"/>
      <c r="Q5" s="17"/>
      <c r="R5" s="17"/>
      <c r="S5" s="17"/>
      <c r="T5" s="17"/>
      <c r="U5" s="17"/>
      <c r="V5" s="17"/>
      <c r="W5" s="17"/>
      <c r="X5" s="17"/>
      <c r="Y5" s="17"/>
      <c r="Z5" s="17"/>
      <c r="AA5" s="17"/>
      <c r="AB5" s="4"/>
      <c r="AC5" s="4"/>
      <c r="AD5" s="4"/>
      <c r="AE5" s="4"/>
    </row>
    <row r="6" spans="1:31" x14ac:dyDescent="0.25">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row>
    <row r="7" spans="1:31" ht="16.5" customHeight="1" thickBot="1" x14ac:dyDescent="0.3">
      <c r="A7" s="5" t="s">
        <v>10</v>
      </c>
      <c r="B7" s="4"/>
      <c r="C7" s="4"/>
      <c r="D7" s="4"/>
      <c r="E7" s="4"/>
      <c r="F7" s="4"/>
      <c r="G7" s="4"/>
      <c r="H7" s="4"/>
      <c r="I7" s="4"/>
      <c r="J7" s="4"/>
      <c r="K7" s="4"/>
      <c r="L7" s="4"/>
      <c r="M7" s="4"/>
      <c r="N7" s="4"/>
      <c r="O7" s="4"/>
      <c r="P7" s="4"/>
      <c r="Q7" s="4"/>
      <c r="R7" s="4"/>
      <c r="S7" s="4"/>
      <c r="T7" s="4"/>
      <c r="U7" s="4"/>
      <c r="V7" s="4"/>
      <c r="W7" s="4"/>
      <c r="X7" s="4"/>
      <c r="Y7" s="4"/>
      <c r="Z7" s="4"/>
      <c r="AA7" s="4"/>
      <c r="AB7" s="4"/>
      <c r="AC7" s="4"/>
      <c r="AD7" s="4"/>
      <c r="AE7" s="4"/>
    </row>
    <row r="8" spans="1:31" ht="18.75" thickBot="1" x14ac:dyDescent="0.4">
      <c r="A8" s="47"/>
      <c r="B8" s="63" t="s">
        <v>11</v>
      </c>
      <c r="C8" s="63" t="s">
        <v>12</v>
      </c>
      <c r="D8" s="63" t="s">
        <v>13</v>
      </c>
      <c r="E8" s="63" t="s">
        <v>14</v>
      </c>
      <c r="F8" s="53" t="s">
        <v>15</v>
      </c>
      <c r="G8" s="4"/>
      <c r="H8" s="1" t="s">
        <v>16</v>
      </c>
      <c r="I8" s="2"/>
      <c r="J8" s="2"/>
      <c r="K8" s="2"/>
      <c r="L8" s="3"/>
      <c r="M8" s="4"/>
      <c r="N8" s="46" t="s">
        <v>17</v>
      </c>
      <c r="O8" s="15"/>
      <c r="P8" s="15"/>
      <c r="Q8" s="15"/>
      <c r="R8" s="15"/>
      <c r="S8" s="15"/>
      <c r="T8" s="15"/>
      <c r="U8" s="15"/>
      <c r="V8" s="15"/>
      <c r="W8" s="16"/>
      <c r="X8" s="4"/>
      <c r="Y8" s="4"/>
      <c r="Z8" s="4"/>
      <c r="AA8" s="4"/>
      <c r="AB8" s="4"/>
      <c r="AC8" s="4"/>
      <c r="AD8" s="4"/>
      <c r="AE8" s="4"/>
    </row>
    <row r="9" spans="1:31" ht="15.75" thickBot="1" x14ac:dyDescent="0.3">
      <c r="A9" s="48" t="s">
        <v>18</v>
      </c>
      <c r="B9" s="35">
        <v>3.4000000000000002E-2</v>
      </c>
      <c r="C9" s="35">
        <v>3.4000000000000002E-2</v>
      </c>
      <c r="D9" s="35">
        <v>3.4000000000000002E-2</v>
      </c>
      <c r="E9" s="35">
        <v>3.4000000000000002E-2</v>
      </c>
      <c r="F9" s="36">
        <v>3.4000000000000002E-2</v>
      </c>
      <c r="G9" s="4"/>
      <c r="H9" s="66" t="s">
        <v>19</v>
      </c>
      <c r="I9" s="67" t="s">
        <v>20</v>
      </c>
      <c r="J9" s="68" t="s">
        <v>21</v>
      </c>
      <c r="K9" s="69"/>
      <c r="L9" s="70"/>
      <c r="M9" s="4"/>
      <c r="N9" s="8"/>
      <c r="O9" s="4"/>
      <c r="P9" s="4"/>
      <c r="Q9" s="4"/>
      <c r="R9" s="4"/>
      <c r="S9" s="4"/>
      <c r="T9" s="4"/>
      <c r="U9" s="4"/>
      <c r="V9" s="4"/>
      <c r="W9" s="11"/>
      <c r="X9" s="4"/>
      <c r="Y9" s="4"/>
      <c r="Z9" s="4"/>
      <c r="AA9" s="4"/>
      <c r="AB9" s="4"/>
      <c r="AC9" s="4"/>
      <c r="AD9" s="4"/>
      <c r="AE9" s="4"/>
    </row>
    <row r="10" spans="1:31" ht="15.75" customHeight="1" x14ac:dyDescent="0.25">
      <c r="A10" s="48" t="s">
        <v>22</v>
      </c>
      <c r="B10" s="37">
        <v>2</v>
      </c>
      <c r="C10" s="37">
        <v>5</v>
      </c>
      <c r="D10" s="37">
        <v>10</v>
      </c>
      <c r="E10" s="37">
        <v>15</v>
      </c>
      <c r="F10" s="38">
        <v>25</v>
      </c>
      <c r="G10" s="4"/>
      <c r="H10" s="19">
        <v>1</v>
      </c>
      <c r="I10" s="64">
        <f>H10/304.8*47.88026</f>
        <v>0.15708746719160105</v>
      </c>
      <c r="J10" s="4" t="s">
        <v>23</v>
      </c>
      <c r="K10" s="4"/>
      <c r="L10" s="11"/>
      <c r="M10" s="4"/>
      <c r="N10" s="29" t="s">
        <v>24</v>
      </c>
      <c r="O10" s="30"/>
      <c r="P10" s="30"/>
      <c r="Q10" s="30"/>
      <c r="R10" s="30"/>
      <c r="S10" s="30"/>
      <c r="T10" s="30"/>
      <c r="U10" s="30"/>
      <c r="V10" s="30"/>
      <c r="W10" s="31"/>
      <c r="X10" s="4"/>
      <c r="Y10" s="4"/>
      <c r="Z10" s="4"/>
      <c r="AA10" s="4"/>
      <c r="AB10" s="4"/>
      <c r="AC10" s="4"/>
      <c r="AD10" s="4"/>
      <c r="AE10" s="4"/>
    </row>
    <row r="11" spans="1:31" ht="18.75" x14ac:dyDescent="0.35">
      <c r="A11" s="48" t="s">
        <v>25</v>
      </c>
      <c r="B11" s="39">
        <f>62.4*B10^(-1/3)*(B9/1.49)^2</f>
        <v>2.578852809402615E-2</v>
      </c>
      <c r="C11" s="39">
        <f>62.4*C10^(-1/3)*(C9/1.49)^2</f>
        <v>1.9001149960392975E-2</v>
      </c>
      <c r="D11" s="39">
        <f>62.4*D10^(-1/3)*(D9/1.49)^2</f>
        <v>1.5081222717866659E-2</v>
      </c>
      <c r="E11" s="39">
        <f>62.4*E10^(-1/3)*(E9/1.49)^2</f>
        <v>1.3174661550665583E-2</v>
      </c>
      <c r="F11" s="40">
        <f>62.4*F10^(-1/3)*(F9/1.49)^2</f>
        <v>1.1111939906126352E-2</v>
      </c>
      <c r="G11" s="4"/>
      <c r="H11" s="20">
        <v>25</v>
      </c>
      <c r="I11" s="64">
        <f>H11/304.8*47.88026</f>
        <v>3.9271866797900263</v>
      </c>
      <c r="J11" s="4" t="s">
        <v>26</v>
      </c>
      <c r="K11" s="4"/>
      <c r="L11" s="11"/>
      <c r="M11" s="4"/>
      <c r="N11" s="8" t="s">
        <v>27</v>
      </c>
      <c r="O11" s="4"/>
      <c r="P11" s="4"/>
      <c r="Q11" s="4"/>
      <c r="R11" s="4"/>
      <c r="S11" s="4"/>
      <c r="T11" s="4"/>
      <c r="U11" s="4"/>
      <c r="V11" s="4"/>
      <c r="W11" s="11"/>
      <c r="X11" s="4"/>
      <c r="Y11" s="4"/>
      <c r="Z11" s="4"/>
      <c r="AA11" s="4"/>
      <c r="AB11" s="4"/>
      <c r="AC11" s="4"/>
      <c r="AD11" s="4"/>
      <c r="AE11" s="4"/>
    </row>
    <row r="12" spans="1:31" x14ac:dyDescent="0.25">
      <c r="A12" s="48"/>
      <c r="B12" s="6"/>
      <c r="C12" s="6"/>
      <c r="D12" s="6"/>
      <c r="E12" s="6"/>
      <c r="F12" s="41"/>
      <c r="G12" s="4"/>
      <c r="H12" s="20">
        <v>100</v>
      </c>
      <c r="I12" s="64">
        <f>H12/304.8*47.88026</f>
        <v>15.708746719160105</v>
      </c>
      <c r="J12" s="4" t="s">
        <v>28</v>
      </c>
      <c r="K12" s="4"/>
      <c r="L12" s="11"/>
      <c r="M12" s="4"/>
      <c r="N12" s="8"/>
      <c r="O12" s="4" t="s">
        <v>29</v>
      </c>
      <c r="P12" s="4"/>
      <c r="Q12" s="4"/>
      <c r="R12" s="4"/>
      <c r="S12" s="4"/>
      <c r="T12" s="4"/>
      <c r="U12" s="4"/>
      <c r="V12" s="4"/>
      <c r="W12" s="11"/>
      <c r="X12" s="4"/>
      <c r="Y12" s="4"/>
      <c r="Z12" s="4"/>
      <c r="AA12" s="4"/>
      <c r="AB12" s="4"/>
      <c r="AC12" s="4"/>
      <c r="AD12" s="4"/>
      <c r="AE12" s="4"/>
    </row>
    <row r="13" spans="1:31" ht="20.25" thickBot="1" x14ac:dyDescent="0.4">
      <c r="A13" s="48" t="s">
        <v>30</v>
      </c>
      <c r="B13" s="35">
        <v>0</v>
      </c>
      <c r="C13" s="35">
        <v>0</v>
      </c>
      <c r="D13" s="35">
        <v>0</v>
      </c>
      <c r="E13" s="35">
        <v>0</v>
      </c>
      <c r="F13" s="36">
        <v>0</v>
      </c>
      <c r="G13" s="4"/>
      <c r="H13" s="21">
        <v>500</v>
      </c>
      <c r="I13" s="65">
        <f>H13/304.8*47.88026</f>
        <v>78.543733595800532</v>
      </c>
      <c r="J13" s="17" t="s">
        <v>31</v>
      </c>
      <c r="K13" s="17"/>
      <c r="L13" s="18"/>
      <c r="M13" s="4"/>
      <c r="N13" s="8" t="s">
        <v>32</v>
      </c>
      <c r="O13" s="4"/>
      <c r="P13" s="4"/>
      <c r="Q13" s="4"/>
      <c r="R13" s="4"/>
      <c r="S13" s="4"/>
      <c r="T13" s="4"/>
      <c r="U13" s="4"/>
      <c r="V13" s="4"/>
      <c r="W13" s="11"/>
      <c r="X13" s="4"/>
      <c r="Y13" s="4"/>
      <c r="Z13" s="4"/>
      <c r="AA13" s="4"/>
      <c r="AB13" s="4"/>
      <c r="AC13" s="4"/>
      <c r="AD13" s="4"/>
      <c r="AE13" s="4"/>
    </row>
    <row r="14" spans="1:31" ht="18" customHeight="1" thickBot="1" x14ac:dyDescent="0.4">
      <c r="A14" s="48" t="s">
        <v>33</v>
      </c>
      <c r="B14" s="6">
        <f>B13/47.88026</f>
        <v>0</v>
      </c>
      <c r="C14" s="6">
        <f>C13/47.88026</f>
        <v>0</v>
      </c>
      <c r="D14" s="6">
        <f>D13/47.88026</f>
        <v>0</v>
      </c>
      <c r="E14" s="6">
        <f>E13/47.88026</f>
        <v>0</v>
      </c>
      <c r="F14" s="41">
        <f>F13/47.88026</f>
        <v>0</v>
      </c>
      <c r="G14" s="4"/>
      <c r="H14" s="4"/>
      <c r="I14" s="4"/>
      <c r="J14" s="4"/>
      <c r="K14" s="4"/>
      <c r="L14" s="4"/>
      <c r="M14" s="4"/>
      <c r="N14" s="8"/>
      <c r="O14" s="4" t="s">
        <v>34</v>
      </c>
      <c r="P14" s="4"/>
      <c r="Q14" s="4"/>
      <c r="R14" s="4"/>
      <c r="S14" s="4"/>
      <c r="T14" s="4"/>
      <c r="U14" s="4"/>
      <c r="V14" s="4"/>
      <c r="W14" s="11"/>
      <c r="X14" s="4"/>
      <c r="Y14" s="4"/>
      <c r="Z14" s="4"/>
      <c r="AA14" s="4"/>
      <c r="AB14" s="4"/>
      <c r="AC14" s="4"/>
      <c r="AD14" s="4"/>
      <c r="AE14" s="4"/>
    </row>
    <row r="15" spans="1:31" ht="15.75" thickBot="1" x14ac:dyDescent="0.3">
      <c r="A15" s="48"/>
      <c r="B15" s="6"/>
      <c r="C15" s="6"/>
      <c r="D15" s="6"/>
      <c r="E15" s="6"/>
      <c r="F15" s="41"/>
      <c r="G15" s="4"/>
      <c r="H15" s="71" t="s">
        <v>35</v>
      </c>
      <c r="I15" s="72"/>
      <c r="J15" s="72"/>
      <c r="K15" s="72"/>
      <c r="L15" s="73"/>
      <c r="M15" s="4"/>
      <c r="N15" s="8" t="s">
        <v>36</v>
      </c>
      <c r="O15" s="4"/>
      <c r="P15" s="4"/>
      <c r="Q15" s="4"/>
      <c r="R15" s="4"/>
      <c r="S15" s="4"/>
      <c r="T15" s="4"/>
      <c r="U15" s="4"/>
      <c r="V15" s="4"/>
      <c r="W15" s="11"/>
      <c r="X15" s="4"/>
      <c r="Y15" s="4"/>
      <c r="Z15" s="4"/>
      <c r="AA15" s="4"/>
      <c r="AB15" s="4"/>
      <c r="AC15" s="4"/>
      <c r="AD15" s="4"/>
      <c r="AE15" s="4"/>
    </row>
    <row r="16" spans="1:31" ht="18" customHeight="1" x14ac:dyDescent="0.35">
      <c r="A16" s="48" t="s">
        <v>37</v>
      </c>
      <c r="B16" s="37">
        <v>25</v>
      </c>
      <c r="C16" s="37">
        <v>25</v>
      </c>
      <c r="D16" s="37">
        <v>500</v>
      </c>
      <c r="E16" s="37">
        <v>25</v>
      </c>
      <c r="F16" s="38">
        <v>25</v>
      </c>
      <c r="G16" s="4"/>
      <c r="H16" s="78" t="s">
        <v>38</v>
      </c>
      <c r="I16" s="79"/>
      <c r="J16" s="79"/>
      <c r="K16" s="79"/>
      <c r="L16" s="80"/>
      <c r="M16" s="4"/>
      <c r="N16" s="8"/>
      <c r="O16" s="4" t="s">
        <v>39</v>
      </c>
      <c r="P16" s="4"/>
      <c r="Q16" s="4"/>
      <c r="R16" s="4"/>
      <c r="S16" s="4"/>
      <c r="T16" s="4"/>
      <c r="U16" s="4"/>
      <c r="V16" s="4"/>
      <c r="W16" s="11"/>
      <c r="X16" s="4"/>
      <c r="Y16" s="4"/>
      <c r="Z16" s="4"/>
      <c r="AA16" s="4"/>
      <c r="AB16" s="4"/>
      <c r="AC16" s="4"/>
      <c r="AD16" s="4"/>
      <c r="AE16" s="4"/>
    </row>
    <row r="17" spans="1:31" ht="18.75" customHeight="1" thickBot="1" x14ac:dyDescent="0.4">
      <c r="A17" s="49" t="s">
        <v>40</v>
      </c>
      <c r="B17" s="42">
        <f>B16/304.8*47.88026</f>
        <v>3.9271866797900263</v>
      </c>
      <c r="C17" s="42">
        <f>C16/304.8*47.88026</f>
        <v>3.9271866797900263</v>
      </c>
      <c r="D17" s="42">
        <f>D16/304.8*47.88026</f>
        <v>78.543733595800532</v>
      </c>
      <c r="E17" s="42">
        <f>E16/304.8*47.88026</f>
        <v>3.9271866797900263</v>
      </c>
      <c r="F17" s="43">
        <f>F16/304.8*47.88026</f>
        <v>3.9271866797900263</v>
      </c>
      <c r="G17" s="4"/>
      <c r="H17" s="81"/>
      <c r="I17" s="82"/>
      <c r="J17" s="82"/>
      <c r="K17" s="82"/>
      <c r="L17" s="83"/>
      <c r="M17" s="4"/>
      <c r="N17" s="8" t="s">
        <v>41</v>
      </c>
      <c r="O17" s="4"/>
      <c r="P17" s="4"/>
      <c r="Q17" s="4"/>
      <c r="R17" s="4"/>
      <c r="S17" s="4"/>
      <c r="T17" s="4"/>
      <c r="U17" s="4"/>
      <c r="V17" s="4"/>
      <c r="W17" s="11"/>
      <c r="X17" s="4"/>
      <c r="Y17" s="4"/>
      <c r="Z17" s="4"/>
      <c r="AA17" s="4"/>
      <c r="AB17" s="4"/>
      <c r="AC17" s="4"/>
      <c r="AD17" s="4"/>
      <c r="AE17" s="4"/>
    </row>
    <row r="18" spans="1:31" ht="15" customHeight="1" x14ac:dyDescent="0.25">
      <c r="A18" s="8"/>
      <c r="B18" s="9"/>
      <c r="C18" s="9"/>
      <c r="D18" s="9"/>
      <c r="E18" s="9"/>
      <c r="F18" s="9"/>
      <c r="G18" s="4"/>
      <c r="H18" s="81"/>
      <c r="I18" s="82"/>
      <c r="J18" s="82"/>
      <c r="K18" s="82"/>
      <c r="L18" s="83"/>
      <c r="M18" s="4"/>
      <c r="N18" s="8" t="s">
        <v>42</v>
      </c>
      <c r="O18" s="4"/>
      <c r="P18" s="4"/>
      <c r="Q18" s="4"/>
      <c r="R18" s="4"/>
      <c r="S18" s="4"/>
      <c r="T18" s="4"/>
      <c r="U18" s="4"/>
      <c r="V18" s="4"/>
      <c r="W18" s="11"/>
      <c r="X18" s="4"/>
      <c r="Y18" s="4"/>
      <c r="Z18" s="4"/>
      <c r="AA18" s="4"/>
      <c r="AB18" s="4"/>
      <c r="AC18" s="4"/>
      <c r="AD18" s="4"/>
      <c r="AE18" s="4"/>
    </row>
    <row r="19" spans="1:31" ht="18.75" customHeight="1" thickBot="1" x14ac:dyDescent="0.3">
      <c r="A19" s="10" t="s">
        <v>43</v>
      </c>
      <c r="B19" s="4"/>
      <c r="C19" s="4"/>
      <c r="D19" s="4"/>
      <c r="E19" s="4"/>
      <c r="F19" s="4"/>
      <c r="G19" s="4"/>
      <c r="H19" s="81"/>
      <c r="I19" s="82"/>
      <c r="J19" s="82"/>
      <c r="K19" s="82"/>
      <c r="L19" s="83"/>
      <c r="M19" s="6"/>
      <c r="N19" s="8" t="s">
        <v>44</v>
      </c>
      <c r="O19" s="4"/>
      <c r="P19" s="4"/>
      <c r="Q19" s="4"/>
      <c r="R19" s="4"/>
      <c r="S19" s="4"/>
      <c r="T19" s="4"/>
      <c r="U19" s="4"/>
      <c r="V19" s="4"/>
      <c r="W19" s="11"/>
      <c r="X19" s="4"/>
      <c r="Y19" s="4"/>
      <c r="Z19" s="4"/>
      <c r="AA19" s="4"/>
      <c r="AB19" s="4"/>
      <c r="AC19" s="4"/>
      <c r="AD19" s="4"/>
      <c r="AE19" s="4"/>
    </row>
    <row r="20" spans="1:31" ht="15.75" customHeight="1" x14ac:dyDescent="0.25">
      <c r="A20" s="52"/>
      <c r="B20" s="63" t="str">
        <f>B8</f>
        <v>Levee Name</v>
      </c>
      <c r="C20" s="63" t="str">
        <f>C8</f>
        <v>Levee Name2</v>
      </c>
      <c r="D20" s="63" t="str">
        <f>D8</f>
        <v>Levee Name 3</v>
      </c>
      <c r="E20" s="63" t="str">
        <f>E8</f>
        <v>Levee Name4</v>
      </c>
      <c r="F20" s="53" t="str">
        <f>F8</f>
        <v>Levee Name 5</v>
      </c>
      <c r="G20" s="6"/>
      <c r="H20" s="81" t="s">
        <v>45</v>
      </c>
      <c r="I20" s="82"/>
      <c r="J20" s="82"/>
      <c r="K20" s="82"/>
      <c r="L20" s="83"/>
      <c r="M20" s="6"/>
      <c r="N20" s="8"/>
      <c r="O20" s="4"/>
      <c r="P20" s="4"/>
      <c r="Q20" s="4"/>
      <c r="R20" s="4"/>
      <c r="S20" s="4"/>
      <c r="T20" s="4"/>
      <c r="U20" s="4"/>
      <c r="V20" s="4"/>
      <c r="W20" s="11"/>
      <c r="X20" s="4"/>
      <c r="Y20" s="4"/>
      <c r="Z20" s="4"/>
      <c r="AA20" s="4"/>
      <c r="AB20" s="4"/>
      <c r="AC20" s="4"/>
      <c r="AD20" s="4"/>
      <c r="AE20" s="4"/>
    </row>
    <row r="21" spans="1:31" ht="15.75" customHeight="1" x14ac:dyDescent="0.25">
      <c r="A21" s="54" t="s">
        <v>46</v>
      </c>
      <c r="B21" s="55" t="s">
        <v>47</v>
      </c>
      <c r="C21" s="55" t="s">
        <v>47</v>
      </c>
      <c r="D21" s="55" t="s">
        <v>47</v>
      </c>
      <c r="E21" s="55" t="s">
        <v>47</v>
      </c>
      <c r="F21" s="56" t="s">
        <v>47</v>
      </c>
      <c r="G21" s="6"/>
      <c r="H21" s="81"/>
      <c r="I21" s="82"/>
      <c r="J21" s="82"/>
      <c r="K21" s="82"/>
      <c r="L21" s="83"/>
      <c r="M21" s="6"/>
      <c r="N21" s="8" t="s">
        <v>48</v>
      </c>
      <c r="O21" s="4"/>
      <c r="P21" s="4"/>
      <c r="Q21" s="4"/>
      <c r="R21" s="4"/>
      <c r="S21" s="4"/>
      <c r="T21" s="4"/>
      <c r="U21" s="4"/>
      <c r="V21" s="4"/>
      <c r="W21" s="11"/>
      <c r="X21" s="4"/>
      <c r="Y21" s="4"/>
      <c r="Z21" s="4"/>
      <c r="AA21" s="4"/>
      <c r="AB21" s="4"/>
      <c r="AC21" s="4"/>
      <c r="AD21" s="4"/>
      <c r="AE21" s="4"/>
    </row>
    <row r="22" spans="1:31" ht="15" customHeight="1" x14ac:dyDescent="0.25">
      <c r="A22" s="50">
        <v>0</v>
      </c>
      <c r="B22" s="22">
        <v>0</v>
      </c>
      <c r="C22" s="22">
        <v>0</v>
      </c>
      <c r="D22" s="22">
        <v>0</v>
      </c>
      <c r="E22" s="22">
        <v>0</v>
      </c>
      <c r="F22" s="23">
        <v>0</v>
      </c>
      <c r="G22" s="6"/>
      <c r="H22" s="81"/>
      <c r="I22" s="82"/>
      <c r="J22" s="82"/>
      <c r="K22" s="82"/>
      <c r="L22" s="83"/>
      <c r="M22" s="7"/>
      <c r="N22" s="8" t="s">
        <v>49</v>
      </c>
      <c r="O22" s="4"/>
      <c r="P22" s="4"/>
      <c r="Q22" s="4"/>
      <c r="R22" s="4"/>
      <c r="S22" s="4"/>
      <c r="T22" s="4"/>
      <c r="U22" s="4"/>
      <c r="V22" s="4"/>
      <c r="W22" s="11"/>
      <c r="X22" s="4"/>
      <c r="Y22" s="4"/>
      <c r="Z22" s="4"/>
      <c r="AA22" s="4"/>
      <c r="AB22" s="4"/>
      <c r="AC22" s="4"/>
      <c r="AD22" s="4"/>
      <c r="AE22" s="4"/>
    </row>
    <row r="23" spans="1:31" ht="15.75" customHeight="1" x14ac:dyDescent="0.25">
      <c r="A23" s="50">
        <v>1</v>
      </c>
      <c r="B23" s="24">
        <f>MAX(2*$B$17*($B$11*$A23^2-$B$14),0)</f>
        <v>0.20255272804450075</v>
      </c>
      <c r="C23" s="24">
        <f>MAX(2*$C$17*($C$11*$A23^2-$C$14),0)</f>
        <v>0.14924212605029616</v>
      </c>
      <c r="D23" s="24">
        <f>MAX(2*$D$17*($D$11*$A23^2-$D$14),0)</f>
        <v>2.3690710789021074</v>
      </c>
      <c r="E23" s="25">
        <f>MAX(2*$E$17*($E$11*$A23^2-$E$14),0)</f>
        <v>0.10347871070503138</v>
      </c>
      <c r="F23" s="26">
        <f>MAX(2*$F$17*($F$11*$A23^2-$F$14),0)</f>
        <v>8.7277324771933298E-2</v>
      </c>
      <c r="G23" s="7"/>
      <c r="H23" s="81" t="s">
        <v>50</v>
      </c>
      <c r="I23" s="82"/>
      <c r="J23" s="82"/>
      <c r="K23" s="82"/>
      <c r="L23" s="83"/>
      <c r="M23" s="7"/>
      <c r="N23" s="8" t="s">
        <v>51</v>
      </c>
      <c r="O23" s="4"/>
      <c r="P23" s="4"/>
      <c r="Q23" s="4"/>
      <c r="R23" s="4"/>
      <c r="S23" s="4"/>
      <c r="T23" s="4"/>
      <c r="U23" s="4"/>
      <c r="V23" s="4"/>
      <c r="W23" s="11"/>
      <c r="X23" s="4"/>
      <c r="Y23" s="4"/>
      <c r="Z23" s="4"/>
      <c r="AA23" s="4"/>
      <c r="AB23" s="4"/>
      <c r="AC23" s="4"/>
      <c r="AD23" s="4"/>
      <c r="AE23" s="4"/>
    </row>
    <row r="24" spans="1:31" ht="15.75" customHeight="1" x14ac:dyDescent="0.25">
      <c r="A24" s="50">
        <v>1.5</v>
      </c>
      <c r="B24" s="24">
        <f t="shared" ref="B24:B34" si="0">MAX(2*$B$17*($B$11*$A24^2-$B$14),0)</f>
        <v>0.45574363810012669</v>
      </c>
      <c r="C24" s="24">
        <f t="shared" ref="C24:C34" si="1">MAX(2*$C$17*($C$11*$A24^2-$C$14),0)</f>
        <v>0.33579478361316639</v>
      </c>
      <c r="D24" s="24">
        <f t="shared" ref="D24:D33" si="2">MAX(2*$D$17*($D$11*$A24^2-$D$14),0)</f>
        <v>5.3304099275297414</v>
      </c>
      <c r="E24" s="25">
        <f t="shared" ref="E24:E34" si="3">MAX(2*$E$17*($E$11*$A24^2-$E$14),0)</f>
        <v>0.23282709908632063</v>
      </c>
      <c r="F24" s="26">
        <f t="shared" ref="F24:F34" si="4">MAX(2*$F$17*($F$11*$A24^2-$F$14),0)</f>
        <v>0.19637398073684992</v>
      </c>
      <c r="G24" s="7"/>
      <c r="H24" s="81"/>
      <c r="I24" s="82"/>
      <c r="J24" s="82"/>
      <c r="K24" s="82"/>
      <c r="L24" s="83"/>
      <c r="M24" s="7"/>
      <c r="N24" s="8" t="s">
        <v>52</v>
      </c>
      <c r="O24" s="4"/>
      <c r="P24" s="4"/>
      <c r="Q24" s="4"/>
      <c r="R24" s="4"/>
      <c r="S24" s="4"/>
      <c r="T24" s="4"/>
      <c r="U24" s="4"/>
      <c r="V24" s="4"/>
      <c r="W24" s="11"/>
      <c r="X24" s="4"/>
      <c r="Y24" s="4"/>
      <c r="Z24" s="4"/>
      <c r="AA24" s="4"/>
      <c r="AB24" s="4"/>
      <c r="AC24" s="4"/>
      <c r="AD24" s="4"/>
      <c r="AE24" s="4"/>
    </row>
    <row r="25" spans="1:31" ht="15.75" customHeight="1" x14ac:dyDescent="0.25">
      <c r="A25" s="50">
        <v>2</v>
      </c>
      <c r="B25" s="24">
        <f t="shared" si="0"/>
        <v>0.81021091217800301</v>
      </c>
      <c r="C25" s="24">
        <f t="shared" si="1"/>
        <v>0.59696850420118464</v>
      </c>
      <c r="D25" s="24">
        <f t="shared" si="2"/>
        <v>9.4762843156084298</v>
      </c>
      <c r="E25" s="25">
        <f t="shared" si="3"/>
        <v>0.41391484282012553</v>
      </c>
      <c r="F25" s="26">
        <f t="shared" si="4"/>
        <v>0.34910929908773319</v>
      </c>
      <c r="G25" s="7"/>
      <c r="H25" s="81"/>
      <c r="I25" s="82"/>
      <c r="J25" s="82"/>
      <c r="K25" s="82"/>
      <c r="L25" s="83"/>
      <c r="M25" s="7"/>
      <c r="N25" s="8" t="s">
        <v>53</v>
      </c>
      <c r="O25" s="4"/>
      <c r="P25" s="4"/>
      <c r="Q25" s="4"/>
      <c r="R25" s="4"/>
      <c r="S25" s="4"/>
      <c r="T25" s="4"/>
      <c r="U25" s="4"/>
      <c r="V25" s="4"/>
      <c r="W25" s="11"/>
      <c r="X25" s="4"/>
      <c r="Y25" s="4"/>
      <c r="Z25" s="4"/>
      <c r="AA25" s="4"/>
      <c r="AB25" s="4"/>
      <c r="AC25" s="4"/>
      <c r="AD25" s="4"/>
      <c r="AE25" s="4"/>
    </row>
    <row r="26" spans="1:31" ht="15" customHeight="1" x14ac:dyDescent="0.25">
      <c r="A26" s="50">
        <v>3</v>
      </c>
      <c r="B26" s="24">
        <f t="shared" si="0"/>
        <v>1.8229745524005068</v>
      </c>
      <c r="C26" s="24">
        <f t="shared" si="1"/>
        <v>1.3431791344526656</v>
      </c>
      <c r="D26" s="24">
        <f t="shared" si="2"/>
        <v>21.321639710118966</v>
      </c>
      <c r="E26" s="25">
        <f t="shared" si="3"/>
        <v>0.93130839634528251</v>
      </c>
      <c r="F26" s="26">
        <f t="shared" si="4"/>
        <v>0.78549592294739967</v>
      </c>
      <c r="G26" s="7"/>
      <c r="H26" s="81"/>
      <c r="I26" s="82"/>
      <c r="J26" s="82"/>
      <c r="K26" s="82"/>
      <c r="L26" s="83"/>
      <c r="M26" s="7"/>
      <c r="N26" s="8"/>
      <c r="O26" s="4"/>
      <c r="P26" s="4"/>
      <c r="Q26" s="4"/>
      <c r="R26" s="4"/>
      <c r="S26" s="4"/>
      <c r="T26" s="4"/>
      <c r="U26" s="4"/>
      <c r="V26" s="4"/>
      <c r="W26" s="11"/>
      <c r="X26" s="4"/>
      <c r="Y26" s="4"/>
      <c r="Z26" s="4"/>
      <c r="AA26" s="4"/>
      <c r="AB26" s="4"/>
      <c r="AC26" s="4"/>
      <c r="AD26" s="4"/>
      <c r="AE26" s="4"/>
    </row>
    <row r="27" spans="1:31" x14ac:dyDescent="0.25">
      <c r="A27" s="50">
        <v>4</v>
      </c>
      <c r="B27" s="24">
        <f t="shared" si="0"/>
        <v>3.240843648712012</v>
      </c>
      <c r="C27" s="24">
        <f t="shared" si="1"/>
        <v>2.3878740168047385</v>
      </c>
      <c r="D27" s="24">
        <f t="shared" si="2"/>
        <v>37.905137262433719</v>
      </c>
      <c r="E27" s="25">
        <f t="shared" si="3"/>
        <v>1.6556593712805021</v>
      </c>
      <c r="F27" s="26">
        <f t="shared" si="4"/>
        <v>1.3964371963509328</v>
      </c>
      <c r="G27" s="7"/>
      <c r="H27" s="81"/>
      <c r="I27" s="82"/>
      <c r="J27" s="82"/>
      <c r="K27" s="82"/>
      <c r="L27" s="83"/>
      <c r="M27" s="7"/>
      <c r="N27" s="8"/>
      <c r="O27" s="4"/>
      <c r="P27" s="4"/>
      <c r="Q27" s="4"/>
      <c r="R27" s="4"/>
      <c r="S27" s="4"/>
      <c r="T27" s="4"/>
      <c r="U27" s="4"/>
      <c r="V27" s="4"/>
      <c r="W27" s="11"/>
      <c r="X27" s="4"/>
      <c r="Y27" s="4"/>
      <c r="Z27" s="4"/>
      <c r="AA27" s="4"/>
      <c r="AB27" s="4"/>
      <c r="AC27" s="4"/>
      <c r="AD27" s="4"/>
      <c r="AE27" s="4"/>
    </row>
    <row r="28" spans="1:31" ht="15.75" thickBot="1" x14ac:dyDescent="0.3">
      <c r="A28" s="50">
        <v>6</v>
      </c>
      <c r="B28" s="24">
        <f t="shared" si="0"/>
        <v>7.2918982096020271</v>
      </c>
      <c r="C28" s="24">
        <f t="shared" si="1"/>
        <v>5.3727165378106623</v>
      </c>
      <c r="D28" s="24">
        <f t="shared" si="2"/>
        <v>85.286558840475863</v>
      </c>
      <c r="E28" s="25">
        <f t="shared" si="3"/>
        <v>3.72523358538113</v>
      </c>
      <c r="F28" s="26">
        <f t="shared" si="4"/>
        <v>3.1419836917895987</v>
      </c>
      <c r="G28" s="7"/>
      <c r="H28" s="81"/>
      <c r="I28" s="82"/>
      <c r="J28" s="82"/>
      <c r="K28" s="82"/>
      <c r="L28" s="83"/>
      <c r="M28" s="7"/>
      <c r="N28" s="28"/>
      <c r="O28" s="17"/>
      <c r="P28" s="17"/>
      <c r="Q28" s="17"/>
      <c r="R28" s="17"/>
      <c r="S28" s="17"/>
      <c r="T28" s="17"/>
      <c r="U28" s="17"/>
      <c r="V28" s="17"/>
      <c r="W28" s="18"/>
      <c r="X28" s="4"/>
      <c r="Y28" s="4"/>
      <c r="Z28" s="4"/>
      <c r="AA28" s="4"/>
      <c r="AB28" s="4"/>
      <c r="AC28" s="4"/>
      <c r="AD28" s="4"/>
      <c r="AE28" s="4"/>
    </row>
    <row r="29" spans="1:31" ht="17.25" customHeight="1" thickBot="1" x14ac:dyDescent="0.3">
      <c r="A29" s="50">
        <v>8</v>
      </c>
      <c r="B29" s="24">
        <f t="shared" si="0"/>
        <v>12.963374594848048</v>
      </c>
      <c r="C29" s="24">
        <f t="shared" si="1"/>
        <v>9.5514960672189542</v>
      </c>
      <c r="D29" s="24">
        <f t="shared" si="2"/>
        <v>151.62054904973488</v>
      </c>
      <c r="E29" s="25">
        <f t="shared" si="3"/>
        <v>6.6226374851220084</v>
      </c>
      <c r="F29" s="26">
        <f t="shared" si="4"/>
        <v>5.5857487854037311</v>
      </c>
      <c r="G29" s="7"/>
      <c r="H29" s="81" t="s">
        <v>54</v>
      </c>
      <c r="I29" s="82"/>
      <c r="J29" s="82"/>
      <c r="K29" s="82"/>
      <c r="L29" s="83"/>
      <c r="M29" s="7"/>
      <c r="N29" s="4"/>
      <c r="O29" s="4"/>
      <c r="P29" s="4"/>
      <c r="Q29" s="4"/>
      <c r="R29" s="4"/>
      <c r="S29" s="4"/>
      <c r="T29" s="4"/>
      <c r="U29" s="4"/>
      <c r="V29" s="4"/>
      <c r="W29" s="4"/>
      <c r="X29" s="4"/>
      <c r="Y29" s="4"/>
      <c r="Z29" s="4"/>
      <c r="AA29" s="4"/>
      <c r="AB29" s="4"/>
      <c r="AC29" s="4"/>
      <c r="AD29" s="4"/>
      <c r="AE29" s="4"/>
    </row>
    <row r="30" spans="1:31" ht="17.25" customHeight="1" x14ac:dyDescent="0.25">
      <c r="A30" s="50">
        <v>10</v>
      </c>
      <c r="B30" s="24">
        <f t="shared" si="0"/>
        <v>20.255272804450076</v>
      </c>
      <c r="C30" s="24">
        <f t="shared" si="1"/>
        <v>14.924212605029616</v>
      </c>
      <c r="D30" s="24">
        <f t="shared" si="2"/>
        <v>236.90710789021074</v>
      </c>
      <c r="E30" s="25">
        <f t="shared" si="3"/>
        <v>10.347871070503139</v>
      </c>
      <c r="F30" s="26">
        <f t="shared" si="4"/>
        <v>8.727732477193328</v>
      </c>
      <c r="G30" s="7"/>
      <c r="H30" s="81"/>
      <c r="I30" s="82"/>
      <c r="J30" s="82"/>
      <c r="K30" s="82"/>
      <c r="L30" s="83"/>
      <c r="M30" s="7"/>
      <c r="N30" s="14" t="s">
        <v>55</v>
      </c>
      <c r="O30" s="15"/>
      <c r="P30" s="15"/>
      <c r="Q30" s="15"/>
      <c r="R30" s="15"/>
      <c r="S30" s="15"/>
      <c r="T30" s="15"/>
      <c r="U30" s="15"/>
      <c r="V30" s="15"/>
      <c r="W30" s="16"/>
      <c r="X30" s="4"/>
      <c r="Y30" s="4"/>
      <c r="Z30" s="4"/>
      <c r="AA30" s="4"/>
      <c r="AB30" s="4"/>
      <c r="AC30" s="4"/>
      <c r="AD30" s="4"/>
      <c r="AE30" s="4"/>
    </row>
    <row r="31" spans="1:31" ht="18" customHeight="1" x14ac:dyDescent="0.25">
      <c r="A31" s="50">
        <v>15</v>
      </c>
      <c r="B31" s="24">
        <f t="shared" si="0"/>
        <v>45.57436381001267</v>
      </c>
      <c r="C31" s="24">
        <f t="shared" si="1"/>
        <v>33.579478361316632</v>
      </c>
      <c r="D31" s="24">
        <f t="shared" si="2"/>
        <v>533.04099275297415</v>
      </c>
      <c r="E31" s="25">
        <f t="shared" si="3"/>
        <v>23.282709908632061</v>
      </c>
      <c r="F31" s="26">
        <f t="shared" si="4"/>
        <v>19.637398073684992</v>
      </c>
      <c r="G31" s="7"/>
      <c r="H31" s="81"/>
      <c r="I31" s="82"/>
      <c r="J31" s="82"/>
      <c r="K31" s="82"/>
      <c r="L31" s="83"/>
      <c r="M31" s="7"/>
      <c r="N31" s="93" t="s">
        <v>56</v>
      </c>
      <c r="O31" s="94"/>
      <c r="P31" s="94"/>
      <c r="Q31" s="94"/>
      <c r="R31" s="94"/>
      <c r="S31" s="94"/>
      <c r="T31" s="94"/>
      <c r="U31" s="94"/>
      <c r="V31" s="94"/>
      <c r="W31" s="95"/>
      <c r="X31" s="4"/>
      <c r="Y31" s="4"/>
      <c r="Z31" s="4"/>
      <c r="AA31" s="4"/>
      <c r="AB31" s="4"/>
      <c r="AC31" s="4"/>
      <c r="AD31" s="4"/>
      <c r="AE31" s="4"/>
    </row>
    <row r="32" spans="1:31" ht="18.75" customHeight="1" x14ac:dyDescent="0.25">
      <c r="A32" s="50">
        <v>20</v>
      </c>
      <c r="B32" s="24">
        <f t="shared" si="0"/>
        <v>81.021091217800304</v>
      </c>
      <c r="C32" s="24">
        <f t="shared" si="1"/>
        <v>59.696850420118466</v>
      </c>
      <c r="D32" s="24">
        <f t="shared" si="2"/>
        <v>947.62843156084296</v>
      </c>
      <c r="E32" s="25">
        <f t="shared" si="3"/>
        <v>41.391484282012556</v>
      </c>
      <c r="F32" s="26">
        <f t="shared" si="4"/>
        <v>34.910929908773312</v>
      </c>
      <c r="G32" s="7"/>
      <c r="H32" s="81"/>
      <c r="I32" s="82"/>
      <c r="J32" s="82"/>
      <c r="K32" s="82"/>
      <c r="L32" s="83"/>
      <c r="M32" s="7"/>
      <c r="N32" s="93"/>
      <c r="O32" s="94"/>
      <c r="P32" s="94"/>
      <c r="Q32" s="94"/>
      <c r="R32" s="94"/>
      <c r="S32" s="94"/>
      <c r="T32" s="94"/>
      <c r="U32" s="94"/>
      <c r="V32" s="94"/>
      <c r="W32" s="95"/>
      <c r="X32" s="4"/>
      <c r="Y32" s="4"/>
      <c r="Z32" s="4"/>
      <c r="AA32" s="4"/>
      <c r="AB32" s="4"/>
      <c r="AC32" s="4"/>
      <c r="AD32" s="4"/>
      <c r="AE32" s="4"/>
    </row>
    <row r="33" spans="1:31" ht="18.75" customHeight="1" x14ac:dyDescent="0.25">
      <c r="A33" s="50">
        <v>25</v>
      </c>
      <c r="B33" s="24">
        <f t="shared" si="0"/>
        <v>126.59545502781297</v>
      </c>
      <c r="C33" s="24">
        <f t="shared" si="1"/>
        <v>93.276328781435097</v>
      </c>
      <c r="D33" s="24">
        <f t="shared" si="2"/>
        <v>1480.669424313817</v>
      </c>
      <c r="E33" s="25">
        <f t="shared" si="3"/>
        <v>64.674194190644613</v>
      </c>
      <c r="F33" s="26">
        <f t="shared" si="4"/>
        <v>54.548327982458311</v>
      </c>
      <c r="G33" s="7"/>
      <c r="H33" s="81"/>
      <c r="I33" s="82"/>
      <c r="J33" s="82"/>
      <c r="K33" s="82"/>
      <c r="L33" s="83"/>
      <c r="M33" s="7"/>
      <c r="N33" s="93"/>
      <c r="O33" s="94"/>
      <c r="P33" s="94"/>
      <c r="Q33" s="94"/>
      <c r="R33" s="94"/>
      <c r="S33" s="94"/>
      <c r="T33" s="94"/>
      <c r="U33" s="94"/>
      <c r="V33" s="94"/>
      <c r="W33" s="95"/>
      <c r="X33" s="4"/>
      <c r="Y33" s="4"/>
      <c r="Z33" s="4"/>
      <c r="AA33" s="4"/>
      <c r="AB33" s="4"/>
      <c r="AC33" s="4"/>
      <c r="AD33" s="4"/>
      <c r="AE33" s="4"/>
    </row>
    <row r="34" spans="1:31" ht="19.5" customHeight="1" thickBot="1" x14ac:dyDescent="0.3">
      <c r="A34" s="51">
        <v>30</v>
      </c>
      <c r="B34" s="32">
        <f t="shared" si="0"/>
        <v>182.29745524005068</v>
      </c>
      <c r="C34" s="32">
        <f t="shared" si="1"/>
        <v>134.31791344526653</v>
      </c>
      <c r="D34" s="32">
        <f>MAX(2*$D$17*($D$11*$A34^2-$D$14),0)</f>
        <v>2132.1639710118966</v>
      </c>
      <c r="E34" s="33">
        <f t="shared" si="3"/>
        <v>93.130839634528243</v>
      </c>
      <c r="F34" s="34">
        <f t="shared" si="4"/>
        <v>78.549592294739966</v>
      </c>
      <c r="G34" s="7"/>
      <c r="H34" s="84"/>
      <c r="I34" s="85"/>
      <c r="J34" s="85"/>
      <c r="K34" s="85"/>
      <c r="L34" s="86"/>
      <c r="M34" s="4"/>
      <c r="N34" s="93"/>
      <c r="O34" s="94"/>
      <c r="P34" s="94"/>
      <c r="Q34" s="94"/>
      <c r="R34" s="94"/>
      <c r="S34" s="94"/>
      <c r="T34" s="94"/>
      <c r="U34" s="94"/>
      <c r="V34" s="94"/>
      <c r="W34" s="95"/>
      <c r="X34" s="4"/>
      <c r="Y34" s="4"/>
      <c r="Z34" s="4"/>
      <c r="AA34" s="4"/>
      <c r="AB34" s="4"/>
      <c r="AC34" s="4"/>
      <c r="AD34" s="4"/>
      <c r="AE34" s="4"/>
    </row>
    <row r="35" spans="1:31" x14ac:dyDescent="0.25">
      <c r="A35" s="4"/>
      <c r="B35" s="4"/>
      <c r="C35" s="4"/>
      <c r="D35" s="4"/>
      <c r="E35" s="4"/>
      <c r="F35" s="4"/>
      <c r="G35" s="4"/>
      <c r="H35" s="4"/>
      <c r="I35" s="4"/>
      <c r="J35" s="4"/>
      <c r="K35" s="4"/>
      <c r="L35" s="4"/>
      <c r="M35" s="4"/>
      <c r="N35" s="93"/>
      <c r="O35" s="94"/>
      <c r="P35" s="94"/>
      <c r="Q35" s="94"/>
      <c r="R35" s="94"/>
      <c r="S35" s="94"/>
      <c r="T35" s="94"/>
      <c r="U35" s="94"/>
      <c r="V35" s="94"/>
      <c r="W35" s="95"/>
      <c r="X35" s="4"/>
      <c r="Y35" s="4"/>
      <c r="Z35" s="4"/>
      <c r="AA35" s="4"/>
      <c r="AB35" s="4"/>
      <c r="AC35" s="4"/>
      <c r="AD35" s="4"/>
      <c r="AE35" s="4"/>
    </row>
    <row r="36" spans="1:31" ht="15" customHeight="1" x14ac:dyDescent="0.25">
      <c r="A36" s="4"/>
      <c r="B36" s="4"/>
      <c r="C36" s="4"/>
      <c r="D36" s="4"/>
      <c r="E36" s="4"/>
      <c r="F36" s="4"/>
      <c r="G36" s="4"/>
      <c r="H36" s="4"/>
      <c r="I36" s="4"/>
      <c r="J36" s="4"/>
      <c r="K36" s="4"/>
      <c r="L36" s="4"/>
      <c r="M36" s="4"/>
      <c r="N36" s="93"/>
      <c r="O36" s="94"/>
      <c r="P36" s="94"/>
      <c r="Q36" s="94"/>
      <c r="R36" s="94"/>
      <c r="S36" s="94"/>
      <c r="T36" s="94"/>
      <c r="U36" s="94"/>
      <c r="V36" s="94"/>
      <c r="W36" s="95"/>
      <c r="X36" s="4"/>
      <c r="Y36" s="4"/>
      <c r="Z36" s="4"/>
      <c r="AA36" s="4"/>
      <c r="AB36" s="4"/>
      <c r="AC36" s="4"/>
      <c r="AD36" s="4"/>
      <c r="AE36" s="4"/>
    </row>
    <row r="37" spans="1:31" x14ac:dyDescent="0.25">
      <c r="A37" s="4"/>
      <c r="B37" s="4"/>
      <c r="C37" s="4"/>
      <c r="D37" s="4"/>
      <c r="E37" s="4"/>
      <c r="F37" s="4"/>
      <c r="G37" s="4"/>
      <c r="H37" s="4"/>
      <c r="I37" s="4"/>
      <c r="J37" s="4"/>
      <c r="K37" s="4"/>
      <c r="L37" s="4"/>
      <c r="M37" s="4"/>
      <c r="N37" s="93"/>
      <c r="O37" s="94"/>
      <c r="P37" s="94"/>
      <c r="Q37" s="94"/>
      <c r="R37" s="94"/>
      <c r="S37" s="94"/>
      <c r="T37" s="94"/>
      <c r="U37" s="94"/>
      <c r="V37" s="94"/>
      <c r="W37" s="95"/>
      <c r="X37" s="4"/>
      <c r="Y37" s="4"/>
      <c r="Z37" s="4"/>
      <c r="AA37" s="4"/>
      <c r="AB37" s="4"/>
      <c r="AC37" s="4"/>
      <c r="AD37" s="4"/>
      <c r="AE37" s="4"/>
    </row>
    <row r="38" spans="1:31" x14ac:dyDescent="0.25">
      <c r="A38" s="4"/>
      <c r="B38" s="4"/>
      <c r="C38" s="4"/>
      <c r="D38" s="4"/>
      <c r="E38" s="4"/>
      <c r="F38" s="4"/>
      <c r="G38" s="4"/>
      <c r="H38" s="4"/>
      <c r="I38" s="4"/>
      <c r="J38" s="4"/>
      <c r="K38" s="4"/>
      <c r="L38" s="4"/>
      <c r="M38" s="4"/>
      <c r="N38" s="93"/>
      <c r="O38" s="94"/>
      <c r="P38" s="94"/>
      <c r="Q38" s="94"/>
      <c r="R38" s="94"/>
      <c r="S38" s="94"/>
      <c r="T38" s="94"/>
      <c r="U38" s="94"/>
      <c r="V38" s="94"/>
      <c r="W38" s="95"/>
      <c r="X38" s="4"/>
      <c r="Y38" s="4"/>
      <c r="Z38" s="4"/>
      <c r="AA38" s="4"/>
      <c r="AB38" s="4"/>
      <c r="AC38" s="4"/>
      <c r="AD38" s="4"/>
      <c r="AE38" s="4"/>
    </row>
    <row r="39" spans="1:31" x14ac:dyDescent="0.25">
      <c r="A39" s="4"/>
      <c r="B39" s="4"/>
      <c r="C39" s="4"/>
      <c r="D39" s="4"/>
      <c r="E39" s="4"/>
      <c r="F39" s="4"/>
      <c r="G39" s="4"/>
      <c r="H39" s="4"/>
      <c r="I39" s="4"/>
      <c r="J39" s="4"/>
      <c r="K39" s="4"/>
      <c r="L39" s="4"/>
      <c r="M39" s="4"/>
      <c r="N39" s="93"/>
      <c r="O39" s="94"/>
      <c r="P39" s="94"/>
      <c r="Q39" s="94"/>
      <c r="R39" s="94"/>
      <c r="S39" s="94"/>
      <c r="T39" s="94"/>
      <c r="U39" s="94"/>
      <c r="V39" s="94"/>
      <c r="W39" s="95"/>
      <c r="X39" s="4"/>
      <c r="Y39" s="4"/>
      <c r="Z39" s="4"/>
      <c r="AA39" s="4"/>
      <c r="AB39" s="4"/>
      <c r="AC39" s="4"/>
      <c r="AD39" s="4"/>
      <c r="AE39" s="4"/>
    </row>
    <row r="40" spans="1:31" x14ac:dyDescent="0.25">
      <c r="A40" s="4"/>
      <c r="B40" s="4"/>
      <c r="C40" s="4"/>
      <c r="D40" s="4"/>
      <c r="E40" s="4"/>
      <c r="F40" s="4"/>
      <c r="G40" s="4"/>
      <c r="H40" s="4"/>
      <c r="I40" s="4"/>
      <c r="J40" s="4"/>
      <c r="K40" s="4"/>
      <c r="L40" s="4"/>
      <c r="M40" s="4"/>
      <c r="N40" s="87"/>
      <c r="O40" s="88"/>
      <c r="P40" s="88"/>
      <c r="Q40" s="88"/>
      <c r="R40" s="88"/>
      <c r="S40" s="88"/>
      <c r="T40" s="88"/>
      <c r="U40" s="88"/>
      <c r="V40" s="88"/>
      <c r="W40" s="89"/>
      <c r="X40" s="4"/>
      <c r="Y40" s="4"/>
      <c r="Z40" s="4"/>
      <c r="AA40" s="4"/>
      <c r="AB40" s="4"/>
      <c r="AC40" s="4"/>
      <c r="AD40" s="4"/>
      <c r="AE40" s="4"/>
    </row>
    <row r="41" spans="1:31" ht="15" customHeight="1" x14ac:dyDescent="0.25">
      <c r="A41" s="4"/>
      <c r="B41" s="4"/>
      <c r="C41" s="4"/>
      <c r="D41" s="4"/>
      <c r="E41" s="4"/>
      <c r="F41" s="4"/>
      <c r="G41" s="4"/>
      <c r="H41" s="4"/>
      <c r="I41" s="4"/>
      <c r="J41" s="4"/>
      <c r="K41" s="4"/>
      <c r="L41" s="4"/>
      <c r="M41" s="4"/>
      <c r="N41" s="87"/>
      <c r="O41" s="88"/>
      <c r="P41" s="88"/>
      <c r="Q41" s="88"/>
      <c r="R41" s="88"/>
      <c r="S41" s="88"/>
      <c r="T41" s="88"/>
      <c r="U41" s="88"/>
      <c r="V41" s="88"/>
      <c r="W41" s="89"/>
      <c r="X41" s="4"/>
      <c r="Y41" s="4"/>
      <c r="Z41" s="4"/>
      <c r="AA41" s="4"/>
      <c r="AB41" s="4"/>
      <c r="AC41" s="4"/>
      <c r="AD41" s="4"/>
      <c r="AE41" s="4"/>
    </row>
    <row r="42" spans="1:31" ht="15" customHeight="1" x14ac:dyDescent="0.25">
      <c r="A42" s="4"/>
      <c r="B42" s="4"/>
      <c r="C42" s="4"/>
      <c r="D42" s="4"/>
      <c r="E42" s="4"/>
      <c r="F42" s="4"/>
      <c r="G42" s="4"/>
      <c r="H42" s="4"/>
      <c r="I42" s="4"/>
      <c r="J42" s="4"/>
      <c r="K42" s="4"/>
      <c r="L42" s="4"/>
      <c r="M42" s="4"/>
      <c r="N42" s="87"/>
      <c r="O42" s="88"/>
      <c r="P42" s="88"/>
      <c r="Q42" s="88"/>
      <c r="R42" s="88"/>
      <c r="S42" s="88"/>
      <c r="T42" s="88"/>
      <c r="U42" s="88"/>
      <c r="V42" s="88"/>
      <c r="W42" s="89"/>
      <c r="X42" s="4"/>
      <c r="Y42" s="4"/>
      <c r="Z42" s="4"/>
      <c r="AA42" s="4"/>
      <c r="AB42" s="4"/>
      <c r="AC42" s="4"/>
      <c r="AD42" s="4"/>
      <c r="AE42" s="4"/>
    </row>
    <row r="43" spans="1:31" x14ac:dyDescent="0.25">
      <c r="A43" s="4"/>
      <c r="B43" s="4"/>
      <c r="C43" s="4"/>
      <c r="D43" s="4"/>
      <c r="E43" s="4"/>
      <c r="F43" s="4"/>
      <c r="G43" s="4"/>
      <c r="H43" s="4"/>
      <c r="I43" s="4"/>
      <c r="J43" s="4"/>
      <c r="K43" s="4"/>
      <c r="L43" s="4"/>
      <c r="M43" s="4"/>
      <c r="N43" s="87"/>
      <c r="O43" s="88"/>
      <c r="P43" s="88"/>
      <c r="Q43" s="88"/>
      <c r="R43" s="88"/>
      <c r="S43" s="88"/>
      <c r="T43" s="88"/>
      <c r="U43" s="88"/>
      <c r="V43" s="88"/>
      <c r="W43" s="89"/>
      <c r="X43" s="4"/>
      <c r="Y43" s="4"/>
      <c r="Z43" s="4"/>
      <c r="AA43" s="4"/>
      <c r="AB43" s="4"/>
      <c r="AC43" s="4"/>
      <c r="AD43" s="4"/>
      <c r="AE43" s="4"/>
    </row>
    <row r="44" spans="1:31" ht="15.75" thickBot="1" x14ac:dyDescent="0.3">
      <c r="A44" s="4"/>
      <c r="B44" s="4"/>
      <c r="C44" s="4"/>
      <c r="D44" s="4"/>
      <c r="E44" s="4"/>
      <c r="F44" s="4"/>
      <c r="G44" s="4"/>
      <c r="H44" s="4"/>
      <c r="I44" s="4"/>
      <c r="J44" s="4"/>
      <c r="K44" s="4"/>
      <c r="L44" s="4"/>
      <c r="M44" s="4"/>
      <c r="N44" s="90"/>
      <c r="O44" s="91"/>
      <c r="P44" s="91"/>
      <c r="Q44" s="91"/>
      <c r="R44" s="91"/>
      <c r="S44" s="91"/>
      <c r="T44" s="91"/>
      <c r="U44" s="91"/>
      <c r="V44" s="91"/>
      <c r="W44" s="92"/>
      <c r="X44" s="4"/>
      <c r="Y44" s="4"/>
      <c r="Z44" s="4"/>
      <c r="AA44" s="4"/>
      <c r="AB44" s="4"/>
      <c r="AC44" s="4"/>
      <c r="AD44" s="4"/>
      <c r="AE44" s="4"/>
    </row>
    <row r="45" spans="1:31" ht="15" customHeight="1" x14ac:dyDescent="0.25">
      <c r="A45" s="4"/>
      <c r="B45" s="4"/>
      <c r="C45" s="4"/>
      <c r="D45" s="4"/>
      <c r="E45" s="4"/>
      <c r="F45" s="4"/>
      <c r="G45" s="4"/>
      <c r="H45" s="4"/>
      <c r="I45" s="4"/>
      <c r="J45" s="4"/>
      <c r="K45" s="4"/>
      <c r="L45" s="4"/>
      <c r="M45" s="4"/>
      <c r="N45" s="4"/>
      <c r="O45" s="4"/>
      <c r="P45" s="4"/>
      <c r="Q45" s="4"/>
      <c r="R45" s="4"/>
      <c r="S45" s="75"/>
      <c r="T45" s="75"/>
      <c r="U45" s="75"/>
      <c r="V45" s="4"/>
      <c r="W45" s="4"/>
      <c r="X45" s="4"/>
      <c r="Y45" s="4"/>
      <c r="Z45" s="4"/>
      <c r="AA45" s="4"/>
      <c r="AB45" s="4"/>
      <c r="AC45" s="4"/>
      <c r="AD45" s="4"/>
      <c r="AE45" s="4"/>
    </row>
    <row r="46" spans="1:31" x14ac:dyDescent="0.25">
      <c r="A46" s="4"/>
      <c r="B46" s="4"/>
      <c r="C46" s="4"/>
      <c r="D46" s="4"/>
      <c r="E46" s="4"/>
      <c r="F46" s="4"/>
      <c r="G46" s="4"/>
      <c r="H46" s="4"/>
      <c r="I46" s="4"/>
      <c r="J46" s="4"/>
      <c r="K46" s="4"/>
      <c r="L46" s="4"/>
      <c r="M46" s="4"/>
      <c r="N46" s="4"/>
      <c r="O46" s="4"/>
      <c r="P46" s="4"/>
      <c r="Q46" s="4"/>
      <c r="R46" s="4"/>
      <c r="S46" s="75"/>
      <c r="T46" s="75"/>
      <c r="U46" s="75"/>
      <c r="V46" s="4"/>
      <c r="W46" s="4"/>
      <c r="X46" s="4"/>
      <c r="Y46" s="4"/>
      <c r="Z46" s="4"/>
      <c r="AA46" s="4"/>
      <c r="AB46" s="4"/>
      <c r="AC46" s="4"/>
      <c r="AD46" s="4"/>
      <c r="AE46" s="4"/>
    </row>
    <row r="47" spans="1:31" x14ac:dyDescent="0.25">
      <c r="A47" s="4"/>
      <c r="B47" s="4"/>
      <c r="C47" s="4"/>
      <c r="D47" s="4"/>
      <c r="E47" s="4"/>
      <c r="F47" s="4"/>
      <c r="G47" s="4"/>
      <c r="H47" s="4"/>
      <c r="I47" s="4"/>
      <c r="J47" s="4"/>
      <c r="K47" s="4"/>
      <c r="L47" s="4"/>
      <c r="M47" s="4"/>
      <c r="N47" s="4"/>
      <c r="O47" s="4"/>
      <c r="P47" s="4"/>
      <c r="Q47" s="4"/>
      <c r="R47" s="4"/>
      <c r="S47" s="75"/>
      <c r="T47" s="75"/>
      <c r="U47" s="75"/>
      <c r="V47" s="4"/>
      <c r="W47" s="4"/>
      <c r="X47" s="4"/>
      <c r="Y47" s="4"/>
      <c r="Z47" s="4"/>
      <c r="AA47" s="4"/>
      <c r="AB47" s="4"/>
      <c r="AC47" s="4"/>
      <c r="AD47" s="4"/>
      <c r="AE47" s="4"/>
    </row>
    <row r="48" spans="1:31" x14ac:dyDescent="0.25">
      <c r="A48" s="4"/>
      <c r="B48" s="4"/>
      <c r="C48" s="4"/>
      <c r="D48" s="4"/>
      <c r="E48" s="4"/>
      <c r="F48" s="4"/>
      <c r="G48" s="4"/>
      <c r="H48" s="4"/>
      <c r="I48" s="4"/>
      <c r="J48" s="4"/>
      <c r="K48" s="4"/>
      <c r="L48" s="4"/>
      <c r="M48" s="4"/>
      <c r="N48" s="4"/>
      <c r="O48" s="4"/>
      <c r="P48" s="4"/>
      <c r="Q48" s="4"/>
      <c r="R48" s="4"/>
      <c r="S48" s="74"/>
      <c r="T48" s="74"/>
      <c r="U48" s="74"/>
      <c r="V48" s="4"/>
      <c r="W48" s="4"/>
      <c r="X48" s="4"/>
      <c r="Y48" s="4"/>
      <c r="Z48" s="4"/>
      <c r="AA48" s="4"/>
      <c r="AB48" s="4"/>
      <c r="AC48" s="4"/>
      <c r="AD48" s="4"/>
      <c r="AE48" s="4"/>
    </row>
    <row r="49" spans="1:31" x14ac:dyDescent="0.25">
      <c r="A49" s="4"/>
      <c r="B49" s="4"/>
      <c r="C49" s="4"/>
      <c r="D49" s="4"/>
      <c r="E49" s="4"/>
      <c r="F49" s="4"/>
      <c r="G49" s="4"/>
      <c r="H49" s="4"/>
      <c r="I49" s="4"/>
      <c r="J49" s="4"/>
      <c r="K49" s="4"/>
      <c r="L49" s="4"/>
      <c r="M49" s="4"/>
      <c r="N49" s="4"/>
      <c r="O49" s="4"/>
      <c r="P49" s="4"/>
      <c r="Q49" s="4"/>
      <c r="R49" s="4"/>
      <c r="S49" s="75"/>
      <c r="T49" s="75"/>
      <c r="U49" s="75"/>
      <c r="V49" s="4"/>
      <c r="W49" s="4"/>
      <c r="X49" s="4"/>
      <c r="Y49" s="4"/>
      <c r="Z49" s="4"/>
      <c r="AA49" s="4"/>
      <c r="AB49" s="4"/>
      <c r="AC49" s="4"/>
      <c r="AD49" s="4"/>
      <c r="AE49" s="4"/>
    </row>
    <row r="50" spans="1:31" x14ac:dyDescent="0.25">
      <c r="A50" s="4"/>
      <c r="B50" s="4"/>
      <c r="C50" s="4"/>
      <c r="D50" s="4"/>
      <c r="E50" s="4"/>
      <c r="F50" s="4"/>
      <c r="G50" s="4"/>
      <c r="H50" s="4"/>
      <c r="I50" s="4"/>
      <c r="J50" s="4"/>
      <c r="K50" s="4"/>
      <c r="L50" s="4"/>
      <c r="M50" s="4"/>
      <c r="N50" s="4"/>
      <c r="O50" s="4"/>
      <c r="P50" s="4"/>
      <c r="Q50" s="4"/>
      <c r="R50" s="4"/>
      <c r="S50" s="75"/>
      <c r="T50" s="75"/>
      <c r="U50" s="75"/>
      <c r="V50" s="4"/>
      <c r="W50" s="4"/>
      <c r="X50" s="4"/>
      <c r="Y50" s="4"/>
      <c r="Z50" s="4"/>
      <c r="AA50" s="4"/>
      <c r="AB50" s="4"/>
      <c r="AC50" s="4"/>
      <c r="AD50" s="4"/>
      <c r="AE50" s="4"/>
    </row>
    <row r="51" spans="1:31" ht="15" customHeight="1" x14ac:dyDescent="0.25">
      <c r="A51" s="4"/>
      <c r="B51" s="4"/>
      <c r="C51" s="4"/>
      <c r="D51" s="4"/>
      <c r="E51" s="4"/>
      <c r="F51" s="4"/>
      <c r="G51" s="4"/>
      <c r="H51" s="4"/>
      <c r="I51" s="4"/>
      <c r="J51" s="4"/>
      <c r="K51" s="4"/>
      <c r="L51" s="4"/>
      <c r="M51" s="4"/>
      <c r="N51" s="4"/>
      <c r="O51" s="4"/>
      <c r="P51" s="4"/>
      <c r="Q51" s="4"/>
      <c r="R51" s="4"/>
      <c r="S51" s="75"/>
      <c r="T51" s="75"/>
      <c r="U51" s="75"/>
      <c r="V51" s="4"/>
      <c r="W51" s="4"/>
      <c r="X51" s="4"/>
      <c r="Y51" s="4"/>
      <c r="Z51" s="4"/>
      <c r="AA51" s="4"/>
      <c r="AB51" s="4"/>
      <c r="AC51" s="4"/>
      <c r="AD51" s="4"/>
      <c r="AE51" s="4"/>
    </row>
    <row r="52" spans="1:31" x14ac:dyDescent="0.25">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row>
    <row r="53" spans="1:31" x14ac:dyDescent="0.25">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row>
    <row r="54" spans="1:31" x14ac:dyDescent="0.25">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row>
    <row r="55" spans="1:31" x14ac:dyDescent="0.25">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row>
    <row r="56" spans="1:31" x14ac:dyDescent="0.25">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row>
    <row r="57" spans="1:31" x14ac:dyDescent="0.25">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row>
    <row r="58" spans="1:31" x14ac:dyDescent="0.25">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row>
    <row r="59" spans="1:31" x14ac:dyDescent="0.25">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row>
    <row r="60" spans="1:31" x14ac:dyDescent="0.25">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row>
    <row r="61" spans="1:31" x14ac:dyDescent="0.25">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row>
    <row r="62" spans="1:31" x14ac:dyDescent="0.25">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row>
    <row r="63" spans="1:31" x14ac:dyDescent="0.25">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row>
    <row r="64" spans="1:31" x14ac:dyDescent="0.25">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row>
    <row r="65" spans="1:31" x14ac:dyDescent="0.2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row>
    <row r="66" spans="1:31" x14ac:dyDescent="0.25">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row>
    <row r="67" spans="1:31" x14ac:dyDescent="0.25">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row>
    <row r="68" spans="1:31" x14ac:dyDescent="0.25">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row>
    <row r="69" spans="1:31" x14ac:dyDescent="0.25">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row>
    <row r="70" spans="1:31" x14ac:dyDescent="0.25">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row>
    <row r="71" spans="1:31" x14ac:dyDescent="0.25">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row>
    <row r="72" spans="1:31" x14ac:dyDescent="0.25">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row>
    <row r="73" spans="1:31" x14ac:dyDescent="0.25">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row>
    <row r="74" spans="1:31" x14ac:dyDescent="0.25">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row>
    <row r="75" spans="1:31" x14ac:dyDescent="0.2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row>
    <row r="76" spans="1:31" x14ac:dyDescent="0.25">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row>
    <row r="77" spans="1:31" x14ac:dyDescent="0.25">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row>
    <row r="78" spans="1:31" x14ac:dyDescent="0.25">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row>
    <row r="79" spans="1:31" x14ac:dyDescent="0.25">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row>
    <row r="80" spans="1:31" x14ac:dyDescent="0.25">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row>
    <row r="81" spans="1:31" x14ac:dyDescent="0.25">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row>
    <row r="82" spans="1:31" x14ac:dyDescent="0.25">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row>
    <row r="83" spans="1:31" x14ac:dyDescent="0.25">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row>
    <row r="84" spans="1:31" x14ac:dyDescent="0.25">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row>
    <row r="85" spans="1:31" x14ac:dyDescent="0.25">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row>
    <row r="86" spans="1:31" x14ac:dyDescent="0.25">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row>
    <row r="87" spans="1:31" x14ac:dyDescent="0.25">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row>
    <row r="88" spans="1:31" x14ac:dyDescent="0.25">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row>
    <row r="89" spans="1:31" x14ac:dyDescent="0.25">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row>
    <row r="90" spans="1:31" x14ac:dyDescent="0.25">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row>
    <row r="91" spans="1:31" x14ac:dyDescent="0.25">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row>
    <row r="92" spans="1:31" x14ac:dyDescent="0.25">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row>
    <row r="93" spans="1:31" x14ac:dyDescent="0.25">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row>
    <row r="94" spans="1:31" x14ac:dyDescent="0.25">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row>
    <row r="95" spans="1:31" x14ac:dyDescent="0.25">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row>
    <row r="96" spans="1:31" x14ac:dyDescent="0.25">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row>
    <row r="97" spans="1:31" x14ac:dyDescent="0.25">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row>
    <row r="98" spans="1:31" x14ac:dyDescent="0.25">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row>
    <row r="99" spans="1:31" x14ac:dyDescent="0.25">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row>
    <row r="100" spans="1:31"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row>
    <row r="101" spans="1:31"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row>
    <row r="102" spans="1:31"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row>
    <row r="103" spans="1:31"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row>
    <row r="104" spans="1:31"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row>
    <row r="105" spans="1:31"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row>
    <row r="106" spans="1:31"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row>
    <row r="107" spans="1:31"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row>
    <row r="108" spans="1:31"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row>
    <row r="109" spans="1:31"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row>
    <row r="110" spans="1:31"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row>
    <row r="111" spans="1:31"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row>
    <row r="112" spans="1:31"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spans="1:31"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spans="1:31"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row>
    <row r="115" spans="1:31"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row>
    <row r="116" spans="1:31"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row>
    <row r="117" spans="1:31"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row>
    <row r="118" spans="1:31"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row>
    <row r="119" spans="1:31"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spans="1:31"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spans="1:31"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spans="1:31"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spans="1:31"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spans="1:31" x14ac:dyDescent="0.25">
      <c r="A124" s="4"/>
      <c r="B124" s="4"/>
      <c r="C124" s="4"/>
      <c r="D124" s="4"/>
      <c r="E124" s="4"/>
      <c r="F124" s="4"/>
      <c r="G124" s="4"/>
      <c r="M124" s="4"/>
      <c r="N124" s="4"/>
      <c r="O124" s="4"/>
      <c r="X124" s="4"/>
      <c r="Y124" s="4"/>
      <c r="Z124" s="4"/>
      <c r="AA124" s="4"/>
      <c r="AB124" s="4"/>
      <c r="AC124" s="4"/>
      <c r="AD124" s="4"/>
      <c r="AE124" s="4"/>
    </row>
    <row r="125" spans="1:31" x14ac:dyDescent="0.25">
      <c r="G125" s="4"/>
      <c r="M125" s="4"/>
      <c r="N125" s="4"/>
      <c r="AA125" s="4"/>
      <c r="AB125" s="4"/>
      <c r="AC125" s="4"/>
      <c r="AD125" s="4"/>
      <c r="AE125" s="4"/>
    </row>
    <row r="126" spans="1:31" x14ac:dyDescent="0.25">
      <c r="N126" s="4"/>
    </row>
    <row r="127" spans="1:31" x14ac:dyDescent="0.25">
      <c r="N127" s="4"/>
    </row>
  </sheetData>
  <protectedRanges>
    <protectedRange algorithmName="SHA-512" hashValue="8soO+A55xyne5gW33e2+Hl3XNvdYOl98qIFayMJ1Dtfdj42PxaFsOBpwC1aCMZYhRw3iIA/3hr6tGkdz9b+RGA==" saltValue="I794paT8WQZXwCoDVG/kBA==" spinCount="100000" sqref="B11:F11" name="The Math"/>
    <protectedRange algorithmName="SHA-512" hashValue="b/YpxoPN/dFTFGANUmwQECBUrlR/VjXaPStK9KZ4bz0VmK/sWHIuWhhAb33GF5YoS4LLfGdnzDpB+NDcfUAKvw==" saltValue="5x5QVlZO9g8sGnAUU1npZA==" spinCount="100000" sqref="B17" name="MoreMath"/>
  </protectedRanges>
  <mergeCells count="6">
    <mergeCell ref="H16:L19"/>
    <mergeCell ref="H20:L22"/>
    <mergeCell ref="H23:L28"/>
    <mergeCell ref="H29:L34"/>
    <mergeCell ref="N40:W44"/>
    <mergeCell ref="N31:W39"/>
  </mergeCells>
  <phoneticPr fontId="6" type="noConversion"/>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84045-52D2-489D-9B58-BCA25925944F}">
  <dimension ref="A2:AE24"/>
  <sheetViews>
    <sheetView workbookViewId="0">
      <selection activeCell="A19" sqref="A19:E23"/>
    </sheetView>
  </sheetViews>
  <sheetFormatPr defaultRowHeight="15" x14ac:dyDescent="0.25"/>
  <cols>
    <col min="1" max="1" width="17.28515625" style="4" customWidth="1"/>
    <col min="2" max="3" width="13.7109375" style="4" customWidth="1"/>
    <col min="4" max="4" width="20.28515625" style="4" customWidth="1"/>
    <col min="5" max="5" width="13.7109375" style="13" customWidth="1"/>
    <col min="6" max="31" width="9.140625" style="4"/>
  </cols>
  <sheetData>
    <row r="2" spans="1:3" ht="15.75" thickBot="1" x14ac:dyDescent="0.3">
      <c r="A2" s="12" t="s">
        <v>57</v>
      </c>
    </row>
    <row r="3" spans="1:3" ht="36.75" customHeight="1" x14ac:dyDescent="0.25">
      <c r="A3" s="98" t="s">
        <v>58</v>
      </c>
      <c r="B3" s="98"/>
      <c r="C3" s="98"/>
    </row>
    <row r="4" spans="1:3" x14ac:dyDescent="0.25">
      <c r="A4" s="77" t="s">
        <v>59</v>
      </c>
    </row>
    <row r="6" spans="1:3" x14ac:dyDescent="0.25">
      <c r="A6" s="5" t="s">
        <v>60</v>
      </c>
    </row>
    <row r="7" spans="1:3" x14ac:dyDescent="0.25">
      <c r="A7" s="44" t="s">
        <v>61</v>
      </c>
    </row>
    <row r="9" spans="1:3" x14ac:dyDescent="0.25">
      <c r="A9" s="5" t="s">
        <v>62</v>
      </c>
    </row>
    <row r="10" spans="1:3" x14ac:dyDescent="0.25">
      <c r="A10" s="44" t="s">
        <v>63</v>
      </c>
    </row>
    <row r="12" spans="1:3" x14ac:dyDescent="0.25">
      <c r="A12" s="5" t="s">
        <v>64</v>
      </c>
    </row>
    <row r="13" spans="1:3" x14ac:dyDescent="0.25">
      <c r="A13" s="57" t="s">
        <v>65</v>
      </c>
    </row>
    <row r="14" spans="1:3" x14ac:dyDescent="0.25">
      <c r="A14" s="58" t="s">
        <v>66</v>
      </c>
    </row>
    <row r="15" spans="1:3" x14ac:dyDescent="0.25">
      <c r="A15" s="57" t="s">
        <v>67</v>
      </c>
    </row>
    <row r="16" spans="1:3" x14ac:dyDescent="0.25">
      <c r="A16" s="58" t="s">
        <v>68</v>
      </c>
    </row>
    <row r="18" spans="1:5" x14ac:dyDescent="0.25">
      <c r="A18" s="5" t="s">
        <v>69</v>
      </c>
    </row>
    <row r="19" spans="1:5" ht="15" customHeight="1" x14ac:dyDescent="0.25">
      <c r="A19" s="96" t="s">
        <v>70</v>
      </c>
      <c r="B19" s="96"/>
      <c r="C19" s="96"/>
      <c r="D19" s="96"/>
      <c r="E19" s="97"/>
    </row>
    <row r="20" spans="1:5" x14ac:dyDescent="0.25">
      <c r="A20" s="96"/>
      <c r="B20" s="96"/>
      <c r="C20" s="96"/>
      <c r="D20" s="96"/>
      <c r="E20" s="97"/>
    </row>
    <row r="21" spans="1:5" x14ac:dyDescent="0.25">
      <c r="A21" s="96"/>
      <c r="B21" s="96"/>
      <c r="C21" s="96"/>
      <c r="D21" s="96"/>
      <c r="E21" s="97"/>
    </row>
    <row r="22" spans="1:5" x14ac:dyDescent="0.25">
      <c r="A22" s="96"/>
      <c r="B22" s="96"/>
      <c r="C22" s="96"/>
      <c r="D22" s="96"/>
      <c r="E22" s="97"/>
    </row>
    <row r="23" spans="1:5" x14ac:dyDescent="0.25">
      <c r="A23" s="96"/>
      <c r="B23" s="96"/>
      <c r="C23" s="96"/>
      <c r="D23" s="96"/>
      <c r="E23" s="97"/>
    </row>
    <row r="24" spans="1:5" ht="15" customHeight="1" x14ac:dyDescent="0.25">
      <c r="A24" s="59"/>
      <c r="B24" s="59"/>
      <c r="C24" s="59"/>
      <c r="D24" s="59"/>
      <c r="E24" s="60"/>
    </row>
  </sheetData>
  <mergeCells count="2">
    <mergeCell ref="A19:E23"/>
    <mergeCell ref="A3:C3"/>
  </mergeCells>
  <hyperlinks>
    <hyperlink ref="A14" r:id="rId1" xr:uid="{8C56125B-AF3F-4F3F-B04A-4B54EC2B003C}"/>
    <hyperlink ref="A16" r:id="rId2" xr:uid="{C99FB3B8-231B-474F-8199-155432674A65}"/>
    <hyperlink ref="A10" r:id="rId3" xr:uid="{0419F9F3-4483-43A3-9D3C-FDC5C82B9F5D}"/>
    <hyperlink ref="A7" r:id="rId4" location="/ " xr:uid="{F14A81FE-F819-4220-9B39-97A79EC0E33E}"/>
    <hyperlink ref="A19" r:id="rId5"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3E6A3845-27FE-407B-8F05-D334D0A1E89D}"/>
    <hyperlink ref="A4" r:id="rId6" display="http://dx.doi.org/10.21079/11681/44163" xr:uid="{37B9BECC-BBEC-4C79-8EB5-998992F5D950}"/>
    <hyperlink ref="A19:E23" r:id="rId7" display="https://cops.usace.army.mil/sites/HHC/CoPs/DS/MMC/Shared%20Documents/Forms/AllItems.aspx?RootFolder=%2Fsites%2FHHC%2FCoPs%2FDS%2FMMC%2FShared%20Documents%2FMMC%20Standard%20Operating%20Procedures%2FFY2021&amp;FolderCTID=0x012000448E47A8D6D89E4C845DEE97DCF4EC77&amp;View=%7BE7B3449D%2D4ED7%2D409B%2DBD37%2DEF06947BF389%7D " xr:uid="{90DD03E2-919B-4DF0-BECF-D115EB79684A}"/>
  </hyperlinks>
  <pageMargins left="0.7" right="0.7" top="0.75" bottom="0.75" header="0.3" footer="0.3"/>
  <pageSetup orientation="portrait" horizontalDpi="1200" verticalDpi="1200"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CDE4B-8EDF-41FD-9491-1494D3A7E3CB}">
  <dimension ref="A1:A16"/>
  <sheetViews>
    <sheetView workbookViewId="0">
      <selection activeCell="G22" sqref="G22"/>
    </sheetView>
  </sheetViews>
  <sheetFormatPr defaultColWidth="9.140625" defaultRowHeight="15" x14ac:dyDescent="0.25"/>
  <cols>
    <col min="1" max="16384" width="9.140625" style="4"/>
  </cols>
  <sheetData>
    <row r="1" spans="1:1" x14ac:dyDescent="0.25">
      <c r="A1" s="4" t="s">
        <v>71</v>
      </c>
    </row>
    <row r="4" spans="1:1" x14ac:dyDescent="0.25">
      <c r="A4" s="76" t="s">
        <v>72</v>
      </c>
    </row>
    <row r="5" spans="1:1" x14ac:dyDescent="0.25">
      <c r="A5" s="4" t="s">
        <v>73</v>
      </c>
    </row>
    <row r="6" spans="1:1" x14ac:dyDescent="0.25">
      <c r="A6" s="76" t="s">
        <v>74</v>
      </c>
    </row>
    <row r="8" spans="1:1" x14ac:dyDescent="0.25">
      <c r="A8" s="76" t="s">
        <v>75</v>
      </c>
    </row>
    <row r="10" spans="1:1" x14ac:dyDescent="0.25">
      <c r="A10" s="76" t="s">
        <v>76</v>
      </c>
    </row>
    <row r="12" spans="1:1" x14ac:dyDescent="0.25">
      <c r="A12" s="76" t="s">
        <v>77</v>
      </c>
    </row>
    <row r="14" spans="1:1" x14ac:dyDescent="0.25">
      <c r="A14" s="76" t="s">
        <v>77</v>
      </c>
    </row>
    <row r="16" spans="1:1" x14ac:dyDescent="0.25">
      <c r="A16" s="76" t="s">
        <v>78</v>
      </c>
    </row>
  </sheetData>
  <hyperlinks>
    <hyperlink ref="A6" r:id="rId1" xr:uid="{0DFDC918-D553-4C99-A673-0010CFD8478A}"/>
    <hyperlink ref="A4" r:id="rId2" xr:uid="{8F495CEA-E91E-452C-8517-90A17C2F8CD8}"/>
    <hyperlink ref="A8" r:id="rId3" xr:uid="{2F03C703-875F-47A8-AEBE-8124942D6E48}"/>
    <hyperlink ref="A10" r:id="rId4" xr:uid="{EADB6F8B-9975-4096-9C8C-9A5BA7828D40}"/>
    <hyperlink ref="A12" r:id="rId5" xr:uid="{501F12DC-7745-4A0D-8681-40AD32830E6A}"/>
    <hyperlink ref="A14" r:id="rId6" xr:uid="{7D92AEFB-1D9A-4665-81B8-885A8542F3EE}"/>
    <hyperlink ref="A16" r:id="rId7" xr:uid="{5E4B5636-37E1-476A-9BF4-8997C1A48324}"/>
  </hyperlinks>
  <pageMargins left="0.7" right="0.7" top="0.75" bottom="0.75" header="0.3" footer="0.3"/>
  <pageSetup orientation="portrait" horizontalDpi="1200" verticalDpi="1200" r:id="rId8"/>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4A5405CC2BBCB48A894AB30A3483139" ma:contentTypeVersion="12" ma:contentTypeDescription="Create a new document." ma:contentTypeScope="" ma:versionID="8b684357097cd5eb1906c62af2f8fdba">
  <xsd:schema xmlns:xsd="http://www.w3.org/2001/XMLSchema" xmlns:xs="http://www.w3.org/2001/XMLSchema" xmlns:p="http://schemas.microsoft.com/office/2006/metadata/properties" xmlns:ns2="1aa4b579-0a14-417f-a257-c1c41b3260dc" xmlns:ns3="8bfcebdd-0af9-4de8-86bc-ee08f5a3ccb0" targetNamespace="http://schemas.microsoft.com/office/2006/metadata/properties" ma:root="true" ma:fieldsID="79b3752881ca266d6a05a57fa31c66dd" ns2:_="" ns3:_="">
    <xsd:import namespace="1aa4b579-0a14-417f-a257-c1c41b3260dc"/>
    <xsd:import namespace="8bfcebdd-0af9-4de8-86bc-ee08f5a3ccb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a4b579-0a14-417f-a257-c1c41b3260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e6c1609-49e0-4fdc-8f5b-8b798a96913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BillingMetadata" ma:index="1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fcebdd-0af9-4de8-86bc-ee08f5a3ccb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b4c757c-5459-4f8a-9493-f9f67ab2f81f}" ma:internalName="TaxCatchAll" ma:showField="CatchAllData" ma:web="8bfcebdd-0af9-4de8-86bc-ee08f5a3ccb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a4b579-0a14-417f-a257-c1c41b3260dc">
      <Terms xmlns="http://schemas.microsoft.com/office/infopath/2007/PartnerControls"/>
    </lcf76f155ced4ddcb4097134ff3c332f>
    <TaxCatchAll xmlns="8bfcebdd-0af9-4de8-86bc-ee08f5a3ccb0" xsi:nil="true"/>
  </documentManagement>
</p:properties>
</file>

<file path=customXml/itemProps1.xml><?xml version="1.0" encoding="utf-8"?>
<ds:datastoreItem xmlns:ds="http://schemas.openxmlformats.org/officeDocument/2006/customXml" ds:itemID="{65BC770D-8B5B-4FA5-A0D9-F3AE9FB95B16}"/>
</file>

<file path=customXml/itemProps2.xml><?xml version="1.0" encoding="utf-8"?>
<ds:datastoreItem xmlns:ds="http://schemas.openxmlformats.org/officeDocument/2006/customXml" ds:itemID="{B483DAA6-1C7E-421D-AFE2-CD2A113E1C25}"/>
</file>

<file path=customXml/itemProps3.xml><?xml version="1.0" encoding="utf-8"?>
<ds:datastoreItem xmlns:ds="http://schemas.openxmlformats.org/officeDocument/2006/customXml" ds:itemID="{8C0EC20A-D0C0-408A-9805-E7FA3994DBC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Embankment Erosion</vt:lpstr>
      <vt:lpstr>References</vt:lpstr>
      <vt:lpstr>Case Studies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2026-10-08T02:53:08Z</dcterms:created>
  <dcterms:modified xsi:type="dcterms:W3CDTF">2026-10-08T02:53:11Z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0x010100B4A5405CC2BBCB48A894AB30A3483139</vt:lpwstr>
  </property>
</Properties>
</file>